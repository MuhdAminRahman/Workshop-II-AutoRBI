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A) SUMMARY DATA" sheetId="1" state="hidden" r:id="rId1"/>
    <sheet xmlns:r="http://schemas.openxmlformats.org/officeDocument/2006/relationships" name="Masterfile" sheetId="2" state="visible" r:id="rId2"/>
  </sheets>
  <definedNames>
    <definedName name="_xlnm._FilterDatabase" localSheetId="0" hidden="1">'(A) SUMMARY DATA'!$A$3:$AG$77</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409]mmm\-yy"/>
    <numFmt numFmtId="167" formatCode="0.00_);[Red]\(0.00\)"/>
    <numFmt numFmtId="168" formatCode="0_);[Red]\(0\)"/>
  </numFmts>
  <fonts count="18">
    <font>
      <name val="Calibri"/>
      <color theme="1"/>
      <sz val="11"/>
      <scheme val="minor"/>
    </font>
    <font>
      <name val="Calibri"/>
      <color theme="1"/>
      <sz val="11"/>
    </font>
    <font>
      <name val="Calibri"/>
      <b val="1"/>
      <color theme="1"/>
      <sz val="11"/>
    </font>
    <font>
      <name val="Calibri"/>
      <b val="1"/>
      <color theme="1"/>
      <sz val="14"/>
    </font>
    <font>
      <name val="Calibri"/>
      <b val="1"/>
      <color rgb="FF800080"/>
      <sz val="11"/>
    </font>
    <font/>
    <font>
      <name val="Calibri"/>
      <b val="1"/>
      <color rgb="FF1F497D"/>
      <sz val="11"/>
    </font>
    <font>
      <name val="Calibri"/>
      <b val="1"/>
      <color theme="1"/>
      <sz val="10"/>
    </font>
    <font>
      <name val="Calibri"/>
      <color theme="1"/>
      <sz val="10"/>
    </font>
    <font>
      <name val="Arial"/>
      <color theme="1"/>
      <sz val="10"/>
    </font>
    <font>
      <name val="Calibri"/>
      <color rgb="FFFF0000"/>
      <sz val="11"/>
    </font>
    <font>
      <name val="Arial"/>
      <color theme="1"/>
      <sz val="11"/>
    </font>
    <font>
      <name val="Calibri"/>
      <b val="1"/>
      <color theme="7"/>
      <sz val="12"/>
    </font>
    <font>
      <name val="Calibri"/>
      <b val="1"/>
      <color rgb="FF1F497D"/>
      <sz val="12"/>
    </font>
    <font>
      <name val="Calibri"/>
      <b val="1"/>
      <color rgb="FFFF3300"/>
      <sz val="11"/>
    </font>
    <font>
      <name val="Calibri"/>
      <b val="1"/>
      <color rgb="FFFF3300"/>
      <sz val="12"/>
    </font>
    <font>
      <name val="Calibri"/>
      <b val="1"/>
      <color theme="1"/>
      <sz val="12"/>
    </font>
    <font>
      <name val="Calibri"/>
      <color theme="1"/>
      <sz val="12"/>
    </font>
  </fonts>
  <fills count="4">
    <fill>
      <patternFill/>
    </fill>
    <fill>
      <patternFill patternType="lightGray"/>
    </fill>
    <fill>
      <patternFill patternType="solid">
        <fgColor rgb="FFFFFF00"/>
        <bgColor rgb="FFFFFF00"/>
      </patternFill>
    </fill>
    <fill>
      <patternFill patternType="solid">
        <fgColor rgb="FF92D050"/>
        <bgColor rgb="FF92D05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s>
  <cellStyleXfs count="1">
    <xf numFmtId="0" fontId="0" fillId="0" borderId="0"/>
  </cellStyleXfs>
  <cellXfs count="132">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1" applyAlignment="1" pivotButton="0" quotePrefix="0" xfId="0">
      <alignment horizontal="center" vertical="center"/>
    </xf>
    <xf numFmtId="0" fontId="5" fillId="0" borderId="2" pivotButton="0" quotePrefix="0" xfId="0"/>
    <xf numFmtId="0" fontId="5" fillId="0" borderId="3" pivotButton="0" quotePrefix="0" xfId="0"/>
    <xf numFmtId="0" fontId="6" fillId="0" borderId="1" applyAlignment="1" pivotButton="0" quotePrefix="0" xfId="0">
      <alignment horizontal="center" vertical="center"/>
    </xf>
    <xf numFmtId="0" fontId="7" fillId="2" borderId="4"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left" vertical="center" wrapText="1"/>
    </xf>
    <xf numFmtId="0" fontId="7" fillId="2" borderId="5" applyAlignment="1" pivotButton="0" quotePrefix="0" xfId="0">
      <alignment horizontal="center" vertical="center"/>
    </xf>
    <xf numFmtId="0" fontId="5" fillId="0" borderId="6" pivotButton="0" quotePrefix="0" xfId="0"/>
    <xf numFmtId="0" fontId="5" fillId="0" borderId="7" pivotButton="0" quotePrefix="0" xfId="0"/>
    <xf numFmtId="0" fontId="8" fillId="0" borderId="0" applyAlignment="1" pivotButton="0" quotePrefix="0" xfId="0">
      <alignment horizontal="center" vertical="center"/>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7"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7" fillId="2" borderId="16" applyAlignment="1" pivotButton="0" quotePrefix="0" xfId="0">
      <alignment horizontal="center" vertical="center" wrapText="1"/>
    </xf>
    <xf numFmtId="0" fontId="7" fillId="2" borderId="17" applyAlignment="1" pivotButton="0" quotePrefix="0" xfId="0">
      <alignment horizontal="center" vertical="center" wrapText="1"/>
    </xf>
    <xf numFmtId="0" fontId="7" fillId="2" borderId="18" applyAlignment="1" pivotButton="0" quotePrefix="0" xfId="0">
      <alignment horizontal="center" vertical="center"/>
    </xf>
    <xf numFmtId="0" fontId="7" fillId="2" borderId="14" applyAlignment="1" pivotButton="0" quotePrefix="0" xfId="0">
      <alignment horizontal="center" vertical="center"/>
    </xf>
    <xf numFmtId="0" fontId="7" fillId="2" borderId="16" applyAlignment="1" pivotButton="0" quotePrefix="0" xfId="0">
      <alignment horizontal="center" vertical="center"/>
    </xf>
    <xf numFmtId="0" fontId="7" fillId="2" borderId="15" applyAlignment="1" pivotButton="0" quotePrefix="0" xfId="0">
      <alignment horizontal="center" vertical="center"/>
    </xf>
    <xf numFmtId="0" fontId="7" fillId="2" borderId="17" applyAlignment="1" pivotButton="0" quotePrefix="0" xfId="0">
      <alignment horizontal="center" vertical="center"/>
    </xf>
    <xf numFmtId="0" fontId="9" fillId="0" borderId="19"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1" applyAlignment="1" pivotButton="0" quotePrefix="0" xfId="0">
      <alignment horizontal="center" vertical="center"/>
    </xf>
    <xf numFmtId="0" fontId="1" fillId="0" borderId="20" applyAlignment="1" pivotButton="0" quotePrefix="0" xfId="0">
      <alignment horizontal="center" vertical="center" wrapText="1"/>
    </xf>
    <xf numFmtId="164" fontId="1" fillId="0" borderId="21" applyAlignment="1" pivotButton="0" quotePrefix="0" xfId="0">
      <alignment horizontal="center" vertical="center"/>
    </xf>
    <xf numFmtId="17" fontId="1" fillId="0" borderId="21" applyAlignment="1" pivotButton="0" quotePrefix="0" xfId="0">
      <alignment horizontal="center" vertical="center" wrapText="1"/>
    </xf>
    <xf numFmtId="17" fontId="1" fillId="0" borderId="21" applyAlignment="1" pivotButton="0" quotePrefix="0" xfId="0">
      <alignment horizontal="center" vertical="center"/>
    </xf>
    <xf numFmtId="165" fontId="1" fillId="0" borderId="21" applyAlignment="1" pivotButton="0" quotePrefix="0" xfId="0">
      <alignment horizontal="center" vertical="center"/>
    </xf>
    <xf numFmtId="2" fontId="1" fillId="0" borderId="21" applyAlignment="1" pivotButton="0" quotePrefix="0" xfId="0">
      <alignment horizontal="center" vertical="center"/>
    </xf>
    <xf numFmtId="166" fontId="1" fillId="0" borderId="22" applyAlignment="1" pivotButton="0" quotePrefix="0" xfId="0">
      <alignment horizontal="center" vertical="center"/>
    </xf>
    <xf numFmtId="1" fontId="1" fillId="0" borderId="21" applyAlignment="1" pivotButton="0" quotePrefix="0" xfId="0">
      <alignment horizontal="center" vertical="center"/>
    </xf>
    <xf numFmtId="0" fontId="5" fillId="0" borderId="22" pivotButton="0" quotePrefix="0" xfId="0"/>
    <xf numFmtId="0" fontId="5" fillId="0" borderId="23" pivotButton="0" quotePrefix="0" xfId="0"/>
    <xf numFmtId="0" fontId="5" fillId="0" borderId="24" pivotButton="0" quotePrefix="0" xfId="0"/>
    <xf numFmtId="166" fontId="1" fillId="0" borderId="21" applyAlignment="1" pivotButton="0" quotePrefix="0" xfId="0">
      <alignment horizontal="center" vertical="center"/>
    </xf>
    <xf numFmtId="0" fontId="9" fillId="0" borderId="21" applyAlignment="1" pivotButton="0" quotePrefix="0" xfId="0">
      <alignment horizontal="center" vertical="center"/>
    </xf>
    <xf numFmtId="0" fontId="1" fillId="3" borderId="21" applyAlignment="1" pivotButton="0" quotePrefix="0" xfId="0">
      <alignment horizontal="center" vertical="center"/>
    </xf>
    <xf numFmtId="0" fontId="1" fillId="0" borderId="21" applyAlignment="1" pivotButton="0" quotePrefix="0" xfId="0">
      <alignment horizontal="left" vertical="center" wrapText="1"/>
    </xf>
    <xf numFmtId="2" fontId="10" fillId="0" borderId="21" applyAlignment="1" pivotButton="0" quotePrefix="0" xfId="0">
      <alignment horizontal="center" vertical="center"/>
    </xf>
    <xf numFmtId="0" fontId="1" fillId="3" borderId="19"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9" fillId="0" borderId="21" applyAlignment="1" pivotButton="0" quotePrefix="0" xfId="0">
      <alignment vertical="center"/>
    </xf>
    <xf numFmtId="0" fontId="1" fillId="3" borderId="25" applyAlignment="1" pivotButton="0" quotePrefix="0" xfId="0">
      <alignment vertical="center"/>
    </xf>
    <xf numFmtId="0" fontId="1" fillId="3" borderId="26" applyAlignment="1" pivotButton="0" quotePrefix="0" xfId="0">
      <alignment vertical="center"/>
    </xf>
    <xf numFmtId="0" fontId="1" fillId="0" borderId="24" applyAlignment="1" pivotButton="0" quotePrefix="0" xfId="0">
      <alignment vertical="center" wrapText="1"/>
    </xf>
    <xf numFmtId="0" fontId="1" fillId="3" borderId="25" applyAlignment="1" pivotButton="0" quotePrefix="0" xfId="0">
      <alignment horizontal="center" vertical="center"/>
    </xf>
    <xf numFmtId="0" fontId="9" fillId="2" borderId="19" applyAlignment="1" pivotButton="0" quotePrefix="0" xfId="0">
      <alignment horizontal="center" vertical="center"/>
    </xf>
    <xf numFmtId="164" fontId="1" fillId="0" borderId="21" applyAlignment="1" pivotButton="0" quotePrefix="0" xfId="0">
      <alignment horizontal="center" vertical="center" wrapText="1"/>
    </xf>
    <xf numFmtId="0" fontId="1" fillId="0" borderId="22" applyAlignment="1" pivotButton="0" quotePrefix="0" xfId="0">
      <alignment horizontal="center" vertical="center"/>
    </xf>
    <xf numFmtId="0" fontId="1" fillId="3" borderId="19" applyAlignment="1" pivotButton="0" quotePrefix="0" xfId="0">
      <alignment horizontal="center" vertical="center" wrapText="1"/>
    </xf>
    <xf numFmtId="0" fontId="11" fillId="3" borderId="19" applyAlignment="1" pivotButton="0" quotePrefix="0" xfId="0">
      <alignment horizontal="center" vertical="center"/>
    </xf>
    <xf numFmtId="0" fontId="1" fillId="3" borderId="26" applyAlignment="1" pivotButton="0" quotePrefix="0" xfId="0">
      <alignment horizontal="center" vertical="center"/>
    </xf>
    <xf numFmtId="0" fontId="1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3"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wrapText="1"/>
    </xf>
    <xf numFmtId="0" fontId="14" fillId="0" borderId="0" applyAlignment="1" pivotButton="0" quotePrefix="0" xfId="0">
      <alignment horizontal="left" vertical="center"/>
    </xf>
    <xf numFmtId="0" fontId="15" fillId="0" borderId="27" applyAlignment="1" pivotButton="0" quotePrefix="0" xfId="0">
      <alignment horizontal="left" vertical="center" wrapText="1"/>
    </xf>
    <xf numFmtId="0" fontId="5" fillId="0" borderId="27" pivotButton="0" quotePrefix="0" xfId="0"/>
    <xf numFmtId="0" fontId="16" fillId="0" borderId="27" applyAlignment="1" pivotButton="0" quotePrefix="0" xfId="0">
      <alignment horizontal="left" vertical="top"/>
    </xf>
    <xf numFmtId="0" fontId="17" fillId="0" borderId="28" applyAlignment="1" pivotButton="0" quotePrefix="0" xfId="0">
      <alignment horizontal="left" vertical="top"/>
    </xf>
    <xf numFmtId="0" fontId="7" fillId="2" borderId="19" applyAlignment="1" pivotButton="0" quotePrefix="0" xfId="0">
      <alignment horizontal="center" vertical="center"/>
    </xf>
    <xf numFmtId="0" fontId="7" fillId="2" borderId="19" applyAlignment="1" pivotButton="0" quotePrefix="0" xfId="0">
      <alignment horizontal="center" vertical="center" wrapText="1"/>
    </xf>
    <xf numFmtId="0" fontId="7" fillId="2" borderId="29" applyAlignment="1" pivotButton="0" quotePrefix="0" xfId="0">
      <alignment horizontal="center"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7" fillId="2" borderId="21" applyAlignment="1" pivotButton="0" quotePrefix="0" xfId="0">
      <alignment horizontal="center" vertical="center" wrapText="1"/>
    </xf>
    <xf numFmtId="0" fontId="1" fillId="0" borderId="19" applyAlignment="1" pivotButton="0" quotePrefix="0" xfId="0">
      <alignment horizontal="center" vertical="center"/>
    </xf>
    <xf numFmtId="0" fontId="8" fillId="0" borderId="21" applyAlignment="1" pivotButton="0" quotePrefix="0" xfId="0">
      <alignment horizontal="center" vertical="center" wrapText="1"/>
    </xf>
    <xf numFmtId="167" fontId="1" fillId="0" borderId="21" applyAlignment="1" pivotButton="0" quotePrefix="0" xfId="0">
      <alignment horizontal="center" vertical="center"/>
    </xf>
    <xf numFmtId="0" fontId="10" fillId="0" borderId="0" applyAlignment="1" pivotButton="0" quotePrefix="0" xfId="0">
      <alignment horizontal="center" vertical="center"/>
    </xf>
    <xf numFmtId="49" fontId="1" fillId="0" borderId="21" applyAlignment="1" pivotButton="0" quotePrefix="0" xfId="0">
      <alignment horizontal="center" vertical="center"/>
    </xf>
    <xf numFmtId="0" fontId="8" fillId="0" borderId="19" applyAlignment="1" pivotButton="0" quotePrefix="0" xfId="0">
      <alignment horizontal="center" vertical="center"/>
    </xf>
    <xf numFmtId="168" fontId="1" fillId="0" borderId="21" applyAlignment="1" pivotButton="0" quotePrefix="0" xfId="0">
      <alignment horizontal="center" vertical="center"/>
    </xf>
    <xf numFmtId="0" fontId="0" fillId="0" borderId="0" pivotButton="0" quotePrefix="0" xfId="0"/>
    <xf numFmtId="0" fontId="4" fillId="0" borderId="37" applyAlignment="1" pivotButton="0" quotePrefix="0" xfId="0">
      <alignment horizontal="center" vertical="center"/>
    </xf>
    <xf numFmtId="0" fontId="0" fillId="0" borderId="2" pivotButton="0" quotePrefix="0" xfId="0"/>
    <xf numFmtId="0" fontId="0" fillId="0" borderId="3" pivotButton="0" quotePrefix="0" xfId="0"/>
    <xf numFmtId="0" fontId="6" fillId="0" borderId="37" applyAlignment="1" pivotButton="0" quotePrefix="0" xfId="0">
      <alignment horizontal="center" vertical="center"/>
    </xf>
    <xf numFmtId="0" fontId="7" fillId="2" borderId="37" applyAlignment="1" pivotButton="0" quotePrefix="0" xfId="0">
      <alignment horizontal="center" vertical="center"/>
    </xf>
    <xf numFmtId="0" fontId="7" fillId="2" borderId="37" applyAlignment="1" pivotButton="0" quotePrefix="0" xfId="0">
      <alignment horizontal="center" vertical="center" wrapText="1"/>
    </xf>
    <xf numFmtId="0" fontId="7" fillId="2" borderId="37" applyAlignment="1" pivotButton="0" quotePrefix="0" xfId="0">
      <alignment horizontal="left" vertical="center" wrapText="1"/>
    </xf>
    <xf numFmtId="0" fontId="7" fillId="2" borderId="34"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 fillId="3" borderId="38" applyAlignment="1" pivotButton="0" quotePrefix="0" xfId="0">
      <alignment horizontal="center" vertical="center"/>
    </xf>
    <xf numFmtId="0" fontId="0" fillId="0" borderId="22" pivotButton="0" quotePrefix="0" xfId="0"/>
    <xf numFmtId="0" fontId="0" fillId="0" borderId="24" pivotButton="0" quotePrefix="0" xfId="0"/>
    <xf numFmtId="0" fontId="9" fillId="2" borderId="21" applyAlignment="1" pivotButton="0" quotePrefix="0" xfId="0">
      <alignment horizontal="center" vertical="center"/>
    </xf>
    <xf numFmtId="0" fontId="1" fillId="0" borderId="21" applyAlignment="1" pivotButton="0" quotePrefix="0" xfId="0">
      <alignment vertical="center" wrapText="1"/>
    </xf>
    <xf numFmtId="0" fontId="1" fillId="3" borderId="21" applyAlignment="1" pivotButton="0" quotePrefix="0" xfId="0">
      <alignment horizontal="center" vertical="center" wrapText="1"/>
    </xf>
    <xf numFmtId="0" fontId="11" fillId="3" borderId="21" applyAlignment="1" pivotButton="0" quotePrefix="0" xfId="0">
      <alignment horizontal="center" vertical="center"/>
    </xf>
    <xf numFmtId="0" fontId="0" fillId="0" borderId="27" pivotButton="0" quotePrefix="0" xfId="0"/>
    <xf numFmtId="0" fontId="7" fillId="2" borderId="2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8" fillId="0" borderId="2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209550</colOff>
      <row>1</row>
      <rowOff>76200</rowOff>
    </from>
    <ext cx="2095500" cy="523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H100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baseColWidth="8" defaultColWidth="14.43" defaultRowHeight="15" customHeight="1"/>
  <cols>
    <col width="4.43" customWidth="1" style="101" min="1" max="1"/>
    <col width="14.14" customWidth="1" style="101" min="2" max="2"/>
    <col width="18.43" customWidth="1" style="101" min="3" max="3"/>
    <col width="36.14" customWidth="1" style="101" min="4" max="4"/>
    <col width="12.14" customWidth="1" style="101" min="5" max="5"/>
    <col width="25.43" customWidth="1" style="101" min="6" max="6"/>
    <col width="13.43" customWidth="1" style="101" min="7" max="7"/>
    <col width="19.43" customWidth="1" style="101" min="8" max="11"/>
    <col width="18.43" customWidth="1" style="101" min="12" max="12"/>
    <col width="14.43" customWidth="1" style="101" min="13" max="16"/>
    <col width="12.43" customWidth="1" style="101" min="17" max="17"/>
    <col width="13.43" customWidth="1" style="101" min="18" max="21"/>
    <col width="11" customWidth="1" style="101" min="22" max="22"/>
    <col width="13.43" customWidth="1" style="101" min="23" max="23"/>
    <col width="11.14" customWidth="1" style="101" min="24" max="24"/>
    <col width="13.43" customWidth="1" style="101" min="25" max="25"/>
    <col width="11.14" customWidth="1" style="101" min="26" max="26"/>
    <col width="14" customWidth="1" style="101" min="27" max="29"/>
    <col width="15.43" customWidth="1" style="101" min="30" max="31"/>
    <col width="16.14" customWidth="1" style="101" min="32" max="32"/>
    <col width="15.43" customWidth="1" style="101" min="33" max="33"/>
    <col width="9.140000000000001" customWidth="1" style="101" min="34" max="34"/>
  </cols>
  <sheetData>
    <row r="1" ht="14.25" customHeight="1" s="101">
      <c r="A1" s="1" t="n"/>
      <c r="D1" s="2" t="n"/>
      <c r="E1" s="2" t="n"/>
      <c r="G1" s="1" t="n"/>
      <c r="H1" s="3" t="n"/>
      <c r="I1" s="3" t="n"/>
      <c r="J1" s="3" t="n"/>
      <c r="AF1" s="1" t="n"/>
    </row>
    <row r="2" ht="14.25" customHeight="1" s="101">
      <c r="A2" s="1" t="n"/>
      <c r="D2" s="2" t="n"/>
      <c r="E2" s="2" t="n"/>
      <c r="G2" s="1" t="n"/>
      <c r="H2" s="3" t="n"/>
      <c r="I2" s="3" t="n"/>
      <c r="J2" s="3" t="n"/>
      <c r="AF2" s="1" t="n"/>
    </row>
    <row r="3" ht="21.75" customHeight="1" s="101">
      <c r="A3" s="4" t="n"/>
      <c r="B3" s="5" t="inlineStr">
        <is>
          <t>CCM CHEMICALS PASIR GUDANG PGW2 PLANT</t>
        </is>
      </c>
      <c r="C3" s="6" t="n"/>
      <c r="D3" s="7" t="n"/>
      <c r="E3" s="7" t="n"/>
      <c r="F3" s="6" t="n"/>
      <c r="G3" s="4" t="n"/>
      <c r="H3" s="8" t="n"/>
      <c r="I3" s="8" t="n"/>
      <c r="J3" s="8" t="n"/>
      <c r="K3" s="6" t="n"/>
      <c r="L3" s="6" t="n"/>
      <c r="M3" s="6" t="n"/>
      <c r="N3" s="6" t="n"/>
      <c r="O3" s="6" t="n"/>
      <c r="P3" s="6" t="n"/>
      <c r="Q3" s="6" t="n"/>
      <c r="R3" s="6" t="n"/>
      <c r="S3" s="6" t="n"/>
      <c r="T3" s="6" t="n"/>
      <c r="U3" s="6" t="n"/>
      <c r="V3" s="6" t="n"/>
      <c r="W3" s="6" t="n"/>
      <c r="X3" s="6" t="n"/>
      <c r="Y3" s="6" t="n"/>
      <c r="Z3" s="6" t="n"/>
      <c r="AA3" s="6" t="n"/>
      <c r="AB3" s="6" t="n"/>
      <c r="AC3" s="6" t="n"/>
      <c r="AD3" s="6" t="n"/>
      <c r="AE3" s="6" t="n"/>
      <c r="AF3" s="4" t="n"/>
      <c r="AG3" s="6" t="n"/>
      <c r="AH3" s="6" t="n"/>
    </row>
    <row r="4" ht="21.75" customHeight="1" s="101">
      <c r="A4" s="7" t="n"/>
      <c r="B4" s="9" t="inlineStr">
        <is>
          <t>APPENDIX H: CORROSION RATE AND REMAINING LIFE CALCULATION BASED ON WALL THINNING TABULATION</t>
        </is>
      </c>
      <c r="C4" s="7" t="n"/>
      <c r="D4" s="7" t="n"/>
      <c r="E4" s="7" t="n"/>
      <c r="F4" s="7" t="n"/>
      <c r="G4" s="7" t="n"/>
      <c r="H4" s="10" t="n"/>
      <c r="I4" s="10" t="n"/>
      <c r="J4" s="10" t="n"/>
      <c r="K4" s="7" t="n"/>
      <c r="L4" s="7" t="n"/>
      <c r="M4" s="7" t="n"/>
      <c r="N4" s="7" t="n"/>
      <c r="O4" s="7" t="n"/>
      <c r="P4" s="7" t="n"/>
      <c r="Q4" s="7" t="n"/>
      <c r="R4" s="7" t="n"/>
      <c r="S4" s="7" t="n"/>
      <c r="T4" s="7" t="n"/>
      <c r="U4" s="7" t="n"/>
      <c r="V4" s="7" t="n"/>
      <c r="W4" s="7" t="n"/>
      <c r="X4" s="7" t="n"/>
      <c r="Y4" s="7" t="n"/>
      <c r="Z4" s="7" t="n"/>
      <c r="AA4" s="7" t="n"/>
      <c r="AB4" s="7" t="n"/>
      <c r="AC4" s="7" t="n"/>
      <c r="AD4" s="7" t="n"/>
      <c r="AE4" s="7" t="n"/>
      <c r="AF4" s="4" t="n"/>
      <c r="AG4" s="7" t="n"/>
      <c r="AH4" s="6" t="n"/>
    </row>
    <row r="5" ht="21.75" customHeight="1" s="101">
      <c r="A5" s="7" t="n"/>
      <c r="B5" s="9" t="inlineStr">
        <is>
          <t>TOTAL NO. OF EQUIPMENT: 28 EQUIPMENTS</t>
        </is>
      </c>
      <c r="C5" s="7" t="n"/>
      <c r="D5" s="7" t="n"/>
      <c r="E5" s="7" t="n"/>
      <c r="F5" s="7" t="n"/>
      <c r="G5" s="7" t="n"/>
      <c r="H5" s="10" t="n"/>
      <c r="I5" s="10" t="n"/>
      <c r="J5" s="10" t="n"/>
      <c r="K5" s="7" t="n"/>
      <c r="L5" s="7" t="n"/>
      <c r="M5" s="7" t="n"/>
      <c r="N5" s="7" t="n"/>
      <c r="O5" s="7" t="n"/>
      <c r="P5" s="7" t="n"/>
      <c r="Q5" s="7" t="n"/>
      <c r="R5" s="6" t="n"/>
      <c r="S5" s="6" t="n"/>
      <c r="T5" s="6" t="n"/>
      <c r="U5" s="6" t="n"/>
      <c r="V5" s="6" t="n"/>
      <c r="W5" s="6" t="n"/>
      <c r="X5" s="6" t="n"/>
      <c r="Y5" s="6" t="n"/>
      <c r="Z5" s="6" t="n"/>
      <c r="AA5" s="6" t="n"/>
      <c r="AB5" s="7" t="n"/>
      <c r="AC5" s="7" t="n"/>
      <c r="AD5" s="7" t="n"/>
      <c r="AE5" s="7" t="n"/>
      <c r="AF5" s="4" t="n"/>
      <c r="AG5" s="7" t="n"/>
      <c r="AH5" s="7" t="n"/>
    </row>
    <row r="6" ht="21" customHeight="1" s="101">
      <c r="A6" s="1" t="n"/>
      <c r="D6" s="2" t="n"/>
      <c r="E6" s="2" t="n"/>
      <c r="G6" s="1" t="n"/>
      <c r="H6" s="3" t="n"/>
      <c r="I6" s="3" t="n"/>
      <c r="J6" s="3" t="n"/>
      <c r="R6" s="102" t="inlineStr">
        <is>
          <t>**Note: Please find the detail explanation below</t>
        </is>
      </c>
      <c r="S6" s="103" t="n"/>
      <c r="T6" s="103" t="n"/>
      <c r="U6" s="103" t="n"/>
      <c r="V6" s="103" t="n"/>
      <c r="W6" s="103" t="n"/>
      <c r="X6" s="103" t="n"/>
      <c r="Y6" s="103" t="n"/>
      <c r="Z6" s="104" t="n"/>
      <c r="AA6" s="105" t="inlineStr">
        <is>
          <t>***Note: Please find the detail explanation below</t>
        </is>
      </c>
      <c r="AB6" s="103" t="n"/>
      <c r="AC6" s="103" t="n"/>
      <c r="AD6" s="104" t="n"/>
      <c r="AF6" s="1" t="n"/>
    </row>
    <row r="7" ht="12.75" customHeight="1" s="101">
      <c r="A7" s="106" t="inlineStr">
        <is>
          <t>NO.</t>
        </is>
      </c>
      <c r="B7" s="107" t="inlineStr">
        <is>
          <t>EQUIPMENT NO.</t>
        </is>
      </c>
      <c r="C7" s="106" t="inlineStr">
        <is>
          <t>PMT NO.</t>
        </is>
      </c>
      <c r="D7" s="108" t="inlineStr">
        <is>
          <t>EQUIPMENT DESCRIPTION</t>
        </is>
      </c>
      <c r="E7" s="107" t="inlineStr">
        <is>
          <t>PARTS</t>
        </is>
      </c>
      <c r="F7" s="107" t="inlineStr">
        <is>
          <t>REPRESENTING FLUID</t>
        </is>
      </c>
      <c r="G7" s="107" t="inlineStr">
        <is>
          <t>PHASE</t>
        </is>
      </c>
      <c r="H7" s="109" t="inlineStr">
        <is>
          <t>MATERIAL</t>
        </is>
      </c>
      <c r="I7" s="110" t="n"/>
      <c r="J7" s="110" t="n"/>
      <c r="K7" s="111" t="n"/>
      <c r="L7" s="106" t="inlineStr">
        <is>
          <t>Lining</t>
        </is>
      </c>
      <c r="M7" s="109" t="inlineStr">
        <is>
          <t>DESIGN</t>
        </is>
      </c>
      <c r="N7" s="111" t="n"/>
      <c r="O7" s="109" t="inlineStr">
        <is>
          <t>OPERATING</t>
        </is>
      </c>
      <c r="P7" s="111" t="n"/>
      <c r="Q7" s="109" t="inlineStr">
        <is>
          <t>OD</t>
        </is>
      </c>
      <c r="R7" s="109" t="inlineStr">
        <is>
          <t>THICKNESS**(mm)</t>
        </is>
      </c>
      <c r="S7" s="110" t="n"/>
      <c r="T7" s="111" t="n"/>
      <c r="U7" s="109" t="inlineStr">
        <is>
          <t>UTTM RECORD THICKNESS**(mm)</t>
        </is>
      </c>
      <c r="V7" s="110" t="n"/>
      <c r="W7" s="110" t="n"/>
      <c r="X7" s="110" t="n"/>
      <c r="Y7" s="110" t="n"/>
      <c r="Z7" s="111" t="n"/>
      <c r="AA7" s="109" t="inlineStr">
        <is>
          <t>CORROSION RATE</t>
        </is>
      </c>
      <c r="AB7" s="110" t="n"/>
      <c r="AC7" s="111" t="n"/>
      <c r="AD7" s="107" t="inlineStr">
        <is>
          <t>REMARK FOR SELECTED CORROSION RATE***</t>
        </is>
      </c>
      <c r="AE7" s="107" t="inlineStr">
        <is>
          <t>REMAINING LIFE (RL)</t>
        </is>
      </c>
      <c r="AF7" s="107" t="inlineStr">
        <is>
          <t>SERVICE START DATE</t>
        </is>
      </c>
      <c r="AG7" s="107" t="inlineStr">
        <is>
          <t>YEARS IN SERVICE</t>
        </is>
      </c>
      <c r="AH7" s="21" t="n"/>
    </row>
    <row r="8" ht="14.25" customHeight="1" s="101">
      <c r="A8" s="112" t="n"/>
      <c r="B8" s="112" t="n"/>
      <c r="C8" s="112" t="n"/>
      <c r="D8" s="112" t="n"/>
      <c r="E8" s="112" t="n"/>
      <c r="F8" s="112" t="n"/>
      <c r="G8" s="112" t="n"/>
      <c r="H8" s="113" t="n"/>
      <c r="I8" s="114" t="n"/>
      <c r="J8" s="114" t="n"/>
      <c r="K8" s="115" t="n"/>
      <c r="L8" s="112" t="n"/>
      <c r="M8" s="113" t="n"/>
      <c r="N8" s="115" t="n"/>
      <c r="O8" s="113" t="n"/>
      <c r="P8" s="115" t="n"/>
      <c r="Q8" s="116" t="n"/>
      <c r="R8" s="113" t="n"/>
      <c r="S8" s="114" t="n"/>
      <c r="T8" s="115" t="n"/>
      <c r="U8" s="113" t="n"/>
      <c r="V8" s="114" t="n"/>
      <c r="W8" s="114" t="n"/>
      <c r="X8" s="114" t="n"/>
      <c r="Y8" s="114" t="n"/>
      <c r="Z8" s="115" t="n"/>
      <c r="AA8" s="113" t="n"/>
      <c r="AB8" s="114" t="n"/>
      <c r="AC8" s="115" t="n"/>
      <c r="AD8" s="112" t="n"/>
      <c r="AE8" s="112" t="n"/>
      <c r="AF8" s="112" t="n"/>
      <c r="AG8" s="112" t="n"/>
      <c r="AH8" s="21" t="n"/>
    </row>
    <row r="9" ht="51.75" customHeight="1" s="101">
      <c r="A9" s="117" t="n"/>
      <c r="B9" s="117" t="n"/>
      <c r="C9" s="117" t="n"/>
      <c r="D9" s="117" t="n"/>
      <c r="E9" s="117" t="n"/>
      <c r="F9" s="117" t="n"/>
      <c r="G9" s="117" t="n"/>
      <c r="H9" s="28" t="inlineStr">
        <is>
          <t>DESIGN CODE</t>
        </is>
      </c>
      <c r="I9" s="29" t="inlineStr">
        <is>
          <t>TYPE</t>
        </is>
      </c>
      <c r="J9" s="29" t="inlineStr">
        <is>
          <t>SPEC.</t>
        </is>
      </c>
      <c r="K9" s="30" t="inlineStr">
        <is>
          <t>GRED</t>
        </is>
      </c>
      <c r="L9" s="117" t="n"/>
      <c r="M9" s="31" t="inlineStr">
        <is>
          <t>TEMP. 
(°C)</t>
        </is>
      </c>
      <c r="N9" s="30" t="inlineStr">
        <is>
          <t>PRESSURE (barg)</t>
        </is>
      </c>
      <c r="O9" s="31" t="inlineStr">
        <is>
          <t>TEMP. 
(°C)</t>
        </is>
      </c>
      <c r="P9" s="30" t="inlineStr">
        <is>
          <t>PRESSURE (barg)</t>
        </is>
      </c>
      <c r="Q9" s="32" t="inlineStr">
        <is>
          <t>(mm)</t>
        </is>
      </c>
      <c r="R9" s="33" t="inlineStr">
        <is>
          <t>DESIGN</t>
        </is>
      </c>
      <c r="S9" s="29" t="inlineStr">
        <is>
          <t>NOMINAL</t>
        </is>
      </c>
      <c r="T9" s="34" t="inlineStr">
        <is>
          <t>REQUIRED</t>
        </is>
      </c>
      <c r="U9" s="33" t="inlineStr">
        <is>
          <t>INITIAL</t>
        </is>
      </c>
      <c r="V9" s="35" t="inlineStr">
        <is>
          <t>DATE</t>
        </is>
      </c>
      <c r="W9" s="35" t="inlineStr">
        <is>
          <t>PREVIOUS</t>
        </is>
      </c>
      <c r="X9" s="35" t="inlineStr">
        <is>
          <t>DATE</t>
        </is>
      </c>
      <c r="Y9" s="35" t="inlineStr">
        <is>
          <t>ACTUAL</t>
        </is>
      </c>
      <c r="Z9" s="34" t="inlineStr">
        <is>
          <t>DATE</t>
        </is>
      </c>
      <c r="AA9" s="36" t="inlineStr">
        <is>
          <t>ST</t>
        </is>
      </c>
      <c r="AB9" s="35" t="inlineStr">
        <is>
          <t>LT</t>
        </is>
      </c>
      <c r="AC9" s="34" t="inlineStr">
        <is>
          <t>SELECTED</t>
        </is>
      </c>
      <c r="AD9" s="117" t="n"/>
      <c r="AE9" s="117" t="n"/>
      <c r="AF9" s="117" t="n"/>
      <c r="AG9" s="117" t="n"/>
      <c r="AH9" s="21" t="n"/>
    </row>
    <row r="10" ht="48" customHeight="1" s="101">
      <c r="A10" s="54" t="n">
        <v>1</v>
      </c>
      <c r="B10" s="118" t="inlineStr">
        <is>
          <t>E320</t>
        </is>
      </c>
      <c r="C10" s="118" t="inlineStr">
        <is>
          <t>PMT 94017</t>
        </is>
      </c>
      <c r="D10" s="39" t="inlineStr">
        <is>
          <t>1st Effect  Evaporator</t>
        </is>
      </c>
      <c r="E10" s="40" t="inlineStr">
        <is>
          <t>Shell</t>
        </is>
      </c>
      <c r="F10" s="40" t="inlineStr">
        <is>
          <t>Steam</t>
        </is>
      </c>
      <c r="G10" s="41" t="inlineStr">
        <is>
          <t>Gas</t>
        </is>
      </c>
      <c r="H10" s="42" t="inlineStr">
        <is>
          <t>ASME Section VIII Div. 1 1995 ED</t>
        </is>
      </c>
      <c r="I10" s="40" t="inlineStr">
        <is>
          <t>Carbon Steel</t>
        </is>
      </c>
      <c r="J10" s="40" t="inlineStr">
        <is>
          <t>JIS G3101</t>
        </is>
      </c>
      <c r="K10" s="40" t="inlineStr">
        <is>
          <t>SS 400</t>
        </is>
      </c>
      <c r="L10" s="40" t="inlineStr">
        <is>
          <t xml:space="preserve"> -</t>
        </is>
      </c>
      <c r="M10" s="41" t="n">
        <v>200</v>
      </c>
      <c r="N10" s="43" t="n">
        <v>9.81</v>
      </c>
      <c r="O10" s="41" t="n">
        <v>174</v>
      </c>
      <c r="P10" s="43" t="n">
        <v>7.85</v>
      </c>
      <c r="Q10" s="43" t="n">
        <v>468</v>
      </c>
      <c r="R10" s="41" t="n">
        <v>9</v>
      </c>
      <c r="S10" s="41" t="n">
        <v>9</v>
      </c>
      <c r="T10" s="41" t="n">
        <v>2.5</v>
      </c>
      <c r="U10" s="41" t="n">
        <v>9.15</v>
      </c>
      <c r="V10" s="44" t="n">
        <v>43344</v>
      </c>
      <c r="W10" s="41" t="n">
        <v>8.51</v>
      </c>
      <c r="X10" s="45" t="n">
        <v>44013</v>
      </c>
      <c r="Y10" s="41" t="n">
        <v>8.630000000000001</v>
      </c>
      <c r="Z10" s="45" t="n">
        <v>44378</v>
      </c>
      <c r="AA10" s="46">
        <f>IF(((W10-Y10)/1)&gt;0,(W10-Y10)/1,0.035)</f>
        <v/>
      </c>
      <c r="AB10" s="46">
        <f>IF(((U10-Y10)/2.83)&gt;0,(U10-Y10)/2.83,0.035)</f>
        <v/>
      </c>
      <c r="AC10" s="47">
        <f>MAX(AA10,AB10)</f>
        <v/>
      </c>
      <c r="AD10" s="47" t="inlineStr">
        <is>
          <t>LTCR</t>
        </is>
      </c>
      <c r="AE10" s="43">
        <f>(Y10-T10)/AC10</f>
        <v/>
      </c>
      <c r="AF10" s="48" t="n">
        <v>35247</v>
      </c>
      <c r="AG10" s="49" t="n">
        <v>22.1683778234086</v>
      </c>
      <c r="AH10" s="1" t="n"/>
    </row>
    <row r="11" ht="48" customHeight="1" s="101">
      <c r="A11" s="119" t="n"/>
      <c r="B11" s="120" t="n"/>
      <c r="C11" s="120" t="n"/>
      <c r="D11" s="120" t="n"/>
      <c r="E11" s="40" t="inlineStr">
        <is>
          <t>Channel</t>
        </is>
      </c>
      <c r="F11" s="40" t="inlineStr">
        <is>
          <t>Process Liquid- NaOH Solution (1506)</t>
        </is>
      </c>
      <c r="G11" s="41" t="inlineStr">
        <is>
          <t>Liquid</t>
        </is>
      </c>
      <c r="H11" s="120" t="n"/>
      <c r="I11" s="40" t="inlineStr">
        <is>
          <t>Nickel</t>
        </is>
      </c>
      <c r="J11" s="40" t="inlineStr">
        <is>
          <t>SB-162</t>
        </is>
      </c>
      <c r="K11" s="40" t="inlineStr">
        <is>
          <t xml:space="preserve"> (UNS: N02200) \  Class: As rolled</t>
        </is>
      </c>
      <c r="L11" s="40" t="inlineStr">
        <is>
          <t xml:space="preserve"> -</t>
        </is>
      </c>
      <c r="M11" s="41" t="n">
        <v>165</v>
      </c>
      <c r="N11" s="43" t="n">
        <v>1.96</v>
      </c>
      <c r="O11" s="41" t="n">
        <v>147</v>
      </c>
      <c r="P11" s="43" t="n">
        <v>0.98</v>
      </c>
      <c r="Q11" s="43" t="n">
        <v>458</v>
      </c>
      <c r="R11" s="41" t="n">
        <v>4</v>
      </c>
      <c r="S11" s="41" t="n">
        <v>4</v>
      </c>
      <c r="T11" s="41" t="n">
        <v>1.5</v>
      </c>
      <c r="U11" s="41" t="n">
        <v>4.98</v>
      </c>
      <c r="V11" s="44" t="n">
        <v>43344</v>
      </c>
      <c r="W11" s="41" t="n">
        <v>4.98</v>
      </c>
      <c r="X11" s="45" t="n">
        <v>44013</v>
      </c>
      <c r="Y11" s="47" t="n">
        <v>5</v>
      </c>
      <c r="Z11" s="45" t="n">
        <v>44378</v>
      </c>
      <c r="AA11" s="46">
        <f>IF(((W11-Y11)/1)&gt;0,(W11-Y11)/1,0.035)</f>
        <v/>
      </c>
      <c r="AB11" s="46">
        <f>IF(((U11-Y11)/2.83)&gt;0,(U11-Y11)/2.83,0.035)</f>
        <v/>
      </c>
      <c r="AC11" s="47">
        <f>MAX(AA11,AB11)</f>
        <v/>
      </c>
      <c r="AD11" s="47" t="inlineStr">
        <is>
          <t>ER</t>
        </is>
      </c>
      <c r="AE11" s="43">
        <f>(Y11-T11)/AC11</f>
        <v/>
      </c>
      <c r="AF11" s="53" t="n">
        <v>35247</v>
      </c>
      <c r="AG11" s="49" t="n">
        <v>22.1683778234086</v>
      </c>
      <c r="AH11" s="1" t="n"/>
    </row>
    <row r="12" ht="48" customHeight="1" s="101">
      <c r="A12" s="54" t="n">
        <v>2</v>
      </c>
      <c r="B12" s="55" t="inlineStr">
        <is>
          <t>D320</t>
        </is>
      </c>
      <c r="C12" s="55" t="inlineStr">
        <is>
          <t>PMT 94019</t>
        </is>
      </c>
      <c r="D12" s="56" t="inlineStr">
        <is>
          <t>1st Effect  Evaporator</t>
        </is>
      </c>
      <c r="E12" s="40" t="inlineStr">
        <is>
          <t>Shell</t>
        </is>
      </c>
      <c r="F12" s="40" t="inlineStr">
        <is>
          <t>Vapor + Process Liquid- NaOH Solution (1506)</t>
        </is>
      </c>
      <c r="G12" s="41" t="inlineStr">
        <is>
          <t>Liquid</t>
        </is>
      </c>
      <c r="H12" s="40" t="inlineStr">
        <is>
          <t>ASME Section VIII Div. 1 1995 ED</t>
        </is>
      </c>
      <c r="I12" s="40" t="inlineStr">
        <is>
          <t>Nickel</t>
        </is>
      </c>
      <c r="J12" s="40" t="inlineStr">
        <is>
          <t>SB-162</t>
        </is>
      </c>
      <c r="K12" s="40" t="inlineStr">
        <is>
          <t xml:space="preserve"> (UNS: N02200) \  Class: As rolled</t>
        </is>
      </c>
      <c r="L12" s="40" t="inlineStr">
        <is>
          <t xml:space="preserve"> -</t>
        </is>
      </c>
      <c r="M12" s="41" t="n">
        <v>165</v>
      </c>
      <c r="N12" s="43" t="n">
        <v>1.96</v>
      </c>
      <c r="O12" s="41" t="n">
        <v>147</v>
      </c>
      <c r="P12" s="43" t="n">
        <v>0.98</v>
      </c>
      <c r="Q12" s="43" t="n">
        <v>1210</v>
      </c>
      <c r="R12" s="41" t="n">
        <v>5</v>
      </c>
      <c r="S12" s="41" t="n">
        <v>5</v>
      </c>
      <c r="T12" s="41" t="n">
        <v>2.01</v>
      </c>
      <c r="U12" s="41" t="n">
        <v>5.98</v>
      </c>
      <c r="V12" s="44" t="n">
        <v>43344</v>
      </c>
      <c r="W12" s="47" t="n">
        <v>6</v>
      </c>
      <c r="X12" s="45" t="n">
        <v>44013</v>
      </c>
      <c r="Y12" s="47" t="n">
        <v>6</v>
      </c>
      <c r="Z12" s="45" t="n">
        <v>44378</v>
      </c>
      <c r="AA12" s="47">
        <f>(W12-Y12)/1</f>
        <v/>
      </c>
      <c r="AB12" s="47">
        <f>(U12-Y12)/2.83</f>
        <v/>
      </c>
      <c r="AC12" s="57">
        <f>MAX(AA12,AB12)</f>
        <v/>
      </c>
      <c r="AD12" s="47" t="inlineStr">
        <is>
          <t>ER</t>
        </is>
      </c>
      <c r="AE12" s="43">
        <f>(Y12-T12)/AC12</f>
        <v/>
      </c>
      <c r="AF12" s="53" t="n">
        <v>35247</v>
      </c>
      <c r="AG12" s="49" t="n">
        <v>22.1683778234086</v>
      </c>
      <c r="AH12" s="1" t="n"/>
    </row>
    <row r="13" ht="48" customHeight="1" s="101">
      <c r="A13" s="54" t="n">
        <v>3</v>
      </c>
      <c r="B13" s="66" t="inlineStr">
        <is>
          <t>E-410</t>
        </is>
      </c>
      <c r="C13" s="66" t="inlineStr">
        <is>
          <t>JH PMT 31060</t>
        </is>
      </c>
      <c r="D13" s="59" t="inlineStr">
        <is>
          <t>No. 1 Chlorine Gas Cooler</t>
        </is>
      </c>
      <c r="E13" s="40" t="inlineStr">
        <is>
          <t>Shell</t>
        </is>
      </c>
      <c r="F13" s="40" t="inlineStr">
        <is>
          <t>Cooling Water</t>
        </is>
      </c>
      <c r="G13" s="41" t="inlineStr">
        <is>
          <t>Liquid</t>
        </is>
      </c>
      <c r="H13" s="60" t="inlineStr">
        <is>
          <t>ASME Section VIII Div. 1 2013 ED</t>
        </is>
      </c>
      <c r="I13" s="40" t="inlineStr">
        <is>
          <t>Carbon Steel</t>
        </is>
      </c>
      <c r="J13" s="40" t="inlineStr">
        <is>
          <t>SA-516</t>
        </is>
      </c>
      <c r="K13" s="40" t="inlineStr">
        <is>
          <t>Grade: 70</t>
        </is>
      </c>
      <c r="L13" s="40" t="inlineStr">
        <is>
          <t xml:space="preserve"> -</t>
        </is>
      </c>
      <c r="M13" s="41" t="n">
        <v>60</v>
      </c>
      <c r="N13" s="43" t="n">
        <v>6.86</v>
      </c>
      <c r="O13" s="41" t="n">
        <v>36</v>
      </c>
      <c r="P13" s="43" t="n">
        <v>1.96</v>
      </c>
      <c r="Q13" s="43" t="n">
        <v>700</v>
      </c>
      <c r="R13" s="41" t="n">
        <v>10</v>
      </c>
      <c r="S13" s="41" t="n">
        <v>10</v>
      </c>
      <c r="T13" s="41" t="n">
        <v>2.5</v>
      </c>
      <c r="U13" s="41" t="n">
        <v>10.41</v>
      </c>
      <c r="V13" s="44" t="n">
        <v>43344</v>
      </c>
      <c r="W13" s="47" t="n">
        <v>10</v>
      </c>
      <c r="X13" s="45" t="n">
        <v>44013</v>
      </c>
      <c r="Y13" s="47" t="n">
        <v>10</v>
      </c>
      <c r="Z13" s="45" t="n">
        <v>44378</v>
      </c>
      <c r="AA13" s="46">
        <f>IF(((W13-Y13)/1)&gt;0,(W13-Y13)/1,0.035)</f>
        <v/>
      </c>
      <c r="AB13" s="46">
        <f>IF(((U13-Y13)/2.83)&gt;0,(U13-Y13)/2.83,0.035)</f>
        <v/>
      </c>
      <c r="AC13" s="47">
        <f>MAX(AA13,AB13)</f>
        <v/>
      </c>
      <c r="AD13" s="47" t="inlineStr">
        <is>
          <t>LTCR</t>
        </is>
      </c>
      <c r="AE13" s="43">
        <f>(Y13-T13)/AC13</f>
        <v/>
      </c>
      <c r="AF13" s="53" t="n">
        <v>42705</v>
      </c>
      <c r="AG13" s="49" t="n">
        <v>1.74948665297741</v>
      </c>
      <c r="AH13" s="1" t="n"/>
    </row>
    <row r="14" ht="48" customHeight="1" s="101">
      <c r="A14" s="119" t="n"/>
      <c r="B14" s="120" t="n"/>
      <c r="C14" s="120" t="n"/>
      <c r="D14" s="120" t="n"/>
      <c r="E14" s="40" t="inlineStr">
        <is>
          <t>Channel</t>
        </is>
      </c>
      <c r="F14" s="40" t="inlineStr">
        <is>
          <t>Chlorine Gas with Saturated vapor</t>
        </is>
      </c>
      <c r="G14" s="41" t="inlineStr">
        <is>
          <t>Gas</t>
        </is>
      </c>
      <c r="H14" s="120" t="n"/>
      <c r="I14" s="40" t="inlineStr">
        <is>
          <t>Titanium</t>
        </is>
      </c>
      <c r="J14" s="40" t="inlineStr">
        <is>
          <t>SB-265</t>
        </is>
      </c>
      <c r="K14" s="40" t="inlineStr">
        <is>
          <t>Gr. 2</t>
        </is>
      </c>
      <c r="L14" s="40" t="inlineStr">
        <is>
          <t xml:space="preserve"> -</t>
        </is>
      </c>
      <c r="M14" s="41" t="n">
        <v>110</v>
      </c>
      <c r="N14" s="43" t="n">
        <v>0.98</v>
      </c>
      <c r="O14" s="41" t="n">
        <v>87</v>
      </c>
      <c r="P14" s="43" t="n">
        <v>0.289</v>
      </c>
      <c r="Q14" s="43" t="n">
        <v>692</v>
      </c>
      <c r="R14" s="41" t="n">
        <v>6</v>
      </c>
      <c r="S14" s="41" t="n">
        <v>6</v>
      </c>
      <c r="T14" s="41" t="n">
        <v>1.5</v>
      </c>
      <c r="U14" s="41" t="n">
        <v>5.31</v>
      </c>
      <c r="V14" s="44" t="n">
        <v>43344</v>
      </c>
      <c r="W14" s="41" t="n">
        <v>4.99</v>
      </c>
      <c r="X14" s="45" t="n">
        <v>44013</v>
      </c>
      <c r="Y14" s="41" t="n">
        <v>4.95</v>
      </c>
      <c r="Z14" s="45" t="n">
        <v>44378</v>
      </c>
      <c r="AA14" s="46">
        <f>IF(((W14-Y14)/1)&gt;0,(W14-Y14)/1,0.035)</f>
        <v/>
      </c>
      <c r="AB14" s="46">
        <f>IF(((U14-Y14)/2.83)&gt;0,(U14-Y14)/2.83,0.035)</f>
        <v/>
      </c>
      <c r="AC14" s="47">
        <f>MAX(AA14,AB14)</f>
        <v/>
      </c>
      <c r="AD14" s="47" t="inlineStr">
        <is>
          <t>LTCR</t>
        </is>
      </c>
      <c r="AE14" s="43">
        <f>(Y14-T14)/AC14</f>
        <v/>
      </c>
      <c r="AF14" s="53" t="n">
        <v>42705</v>
      </c>
      <c r="AG14" s="49" t="n">
        <v>1.74948665297741</v>
      </c>
      <c r="AH14" s="1" t="n"/>
    </row>
    <row r="15" ht="48" customHeight="1" s="101">
      <c r="A15" s="54" t="n">
        <v>4</v>
      </c>
      <c r="B15" s="66" t="inlineStr">
        <is>
          <t>E-420</t>
        </is>
      </c>
      <c r="C15" s="66" t="inlineStr">
        <is>
          <t>JH PMT 31023</t>
        </is>
      </c>
      <c r="D15" s="59" t="inlineStr">
        <is>
          <t>No. 2 Chlorine Gas Cooler</t>
        </is>
      </c>
      <c r="E15" s="40" t="inlineStr">
        <is>
          <t>Shell</t>
        </is>
      </c>
      <c r="F15" s="40" t="inlineStr">
        <is>
          <t>Chilled Water</t>
        </is>
      </c>
      <c r="G15" s="41" t="inlineStr">
        <is>
          <t>Liquid</t>
        </is>
      </c>
      <c r="H15" s="60" t="inlineStr">
        <is>
          <t>ASME Section VIII Div. 1 2013 ED</t>
        </is>
      </c>
      <c r="I15" s="40" t="inlineStr">
        <is>
          <t>Carbon Steel</t>
        </is>
      </c>
      <c r="J15" s="40" t="inlineStr">
        <is>
          <t>SA-516</t>
        </is>
      </c>
      <c r="K15" s="40" t="inlineStr">
        <is>
          <t>Grade: 70</t>
        </is>
      </c>
      <c r="L15" s="40" t="inlineStr">
        <is>
          <t xml:space="preserve"> -</t>
        </is>
      </c>
      <c r="M15" s="41" t="n">
        <v>60</v>
      </c>
      <c r="N15" s="43" t="n">
        <v>6.86</v>
      </c>
      <c r="O15" s="41" t="n">
        <v>14</v>
      </c>
      <c r="P15" s="43" t="n">
        <v>3.92</v>
      </c>
      <c r="Q15" s="43" t="n">
        <v>460</v>
      </c>
      <c r="R15" s="41" t="n">
        <v>10</v>
      </c>
      <c r="S15" s="41" t="n">
        <v>10</v>
      </c>
      <c r="T15" s="41" t="n">
        <v>2.5</v>
      </c>
      <c r="U15" s="41" t="n">
        <v>11.32</v>
      </c>
      <c r="V15" s="44" t="n">
        <v>43344</v>
      </c>
      <c r="W15" s="41" t="n">
        <v>11.29</v>
      </c>
      <c r="X15" s="45" t="n">
        <v>44013</v>
      </c>
      <c r="Y15" s="41" t="n">
        <v>11.15</v>
      </c>
      <c r="Z15" s="45" t="n">
        <v>44378</v>
      </c>
      <c r="AA15" s="46">
        <f>IF(((W15-Y15)/1)&gt;0,(W15-Y15)/1,0.035)</f>
        <v/>
      </c>
      <c r="AB15" s="46">
        <f>IF(((U15-Y15)/2.83)&gt;0,(U15-Y15)/2.83,0.035)</f>
        <v/>
      </c>
      <c r="AC15" s="47">
        <f>MAX(AA15,AB15)</f>
        <v/>
      </c>
      <c r="AD15" s="47" t="inlineStr">
        <is>
          <t>STCR</t>
        </is>
      </c>
      <c r="AE15" s="43">
        <f>(Y15-T15)/AC15</f>
        <v/>
      </c>
      <c r="AF15" s="53" t="n">
        <v>42705</v>
      </c>
      <c r="AG15" s="49" t="n">
        <v>1.74948665297741</v>
      </c>
      <c r="AH15" s="1" t="n"/>
    </row>
    <row r="16" ht="48" customHeight="1" s="101">
      <c r="A16" s="119" t="n"/>
      <c r="B16" s="120" t="n"/>
      <c r="C16" s="120" t="n"/>
      <c r="D16" s="120" t="n"/>
      <c r="E16" s="40" t="inlineStr">
        <is>
          <t>Channel</t>
        </is>
      </c>
      <c r="F16" s="40" t="inlineStr">
        <is>
          <t>Chlorine Gas</t>
        </is>
      </c>
      <c r="G16" s="41" t="inlineStr">
        <is>
          <t>Gas</t>
        </is>
      </c>
      <c r="H16" s="120" t="n"/>
      <c r="I16" s="40" t="inlineStr">
        <is>
          <t>Titanium</t>
        </is>
      </c>
      <c r="J16" s="40" t="inlineStr">
        <is>
          <t>SB-265</t>
        </is>
      </c>
      <c r="K16" s="40" t="inlineStr">
        <is>
          <t>Gr. 2</t>
        </is>
      </c>
      <c r="L16" s="40" t="inlineStr">
        <is>
          <t xml:space="preserve"> -</t>
        </is>
      </c>
      <c r="M16" s="41" t="n">
        <v>60</v>
      </c>
      <c r="N16" s="43" t="n">
        <v>0.98</v>
      </c>
      <c r="O16" s="41" t="n">
        <v>40</v>
      </c>
      <c r="P16" s="43" t="n">
        <v>0.284</v>
      </c>
      <c r="Q16" s="43" t="n">
        <v>450</v>
      </c>
      <c r="R16" s="41" t="n">
        <v>5</v>
      </c>
      <c r="S16" s="41" t="n">
        <v>5</v>
      </c>
      <c r="T16" s="41" t="n">
        <v>1.5</v>
      </c>
      <c r="U16" s="41" t="n">
        <v>4.28</v>
      </c>
      <c r="V16" s="44" t="n">
        <v>43344</v>
      </c>
      <c r="W16" s="41" t="n">
        <v>4.28</v>
      </c>
      <c r="X16" s="45" t="n">
        <v>44013</v>
      </c>
      <c r="Y16" s="41" t="n">
        <v>3.84</v>
      </c>
      <c r="Z16" s="45" t="n">
        <v>44378</v>
      </c>
      <c r="AA16" s="47">
        <f>(W16-Y16)/((Z16-X16)/365.25)</f>
        <v/>
      </c>
      <c r="AB16" s="47">
        <f>(U16-Y16)/((Z16-V16)/365.25)</f>
        <v/>
      </c>
      <c r="AC16" s="47">
        <f>MAX(AA16,AB16)</f>
        <v/>
      </c>
      <c r="AD16" s="47" t="inlineStr">
        <is>
          <t>LTCR</t>
        </is>
      </c>
      <c r="AE16" s="43">
        <f>(Y16-T16)/AC16</f>
        <v/>
      </c>
      <c r="AF16" s="53" t="n">
        <v>42705</v>
      </c>
      <c r="AG16" s="49" t="n">
        <v>1.74948665297741</v>
      </c>
      <c r="AH16" s="1" t="n"/>
    </row>
    <row r="17" ht="48" customHeight="1" s="101">
      <c r="A17" s="54" t="n">
        <v>5</v>
      </c>
      <c r="B17" s="66" t="inlineStr">
        <is>
          <t>E-610</t>
        </is>
      </c>
      <c r="C17" s="66" t="inlineStr">
        <is>
          <t>JH PMT 30632</t>
        </is>
      </c>
      <c r="D17" s="61" t="inlineStr">
        <is>
          <t>No 1 Hydrogen Gas Cooler</t>
        </is>
      </c>
      <c r="E17" s="40" t="inlineStr">
        <is>
          <t>Shell</t>
        </is>
      </c>
      <c r="F17" s="40" t="inlineStr">
        <is>
          <t>Cooling Water</t>
        </is>
      </c>
      <c r="G17" s="41" t="inlineStr">
        <is>
          <t>Liquid</t>
        </is>
      </c>
      <c r="H17" s="40" t="inlineStr">
        <is>
          <t>ASME Section VIII Div. 1 2015 ED</t>
        </is>
      </c>
      <c r="I17" s="40" t="inlineStr">
        <is>
          <t>Carbon Steel</t>
        </is>
      </c>
      <c r="J17" s="40" t="inlineStr">
        <is>
          <t>SA-516M</t>
        </is>
      </c>
      <c r="K17" s="40" t="inlineStr">
        <is>
          <t>Grade: 485</t>
        </is>
      </c>
      <c r="L17" s="40" t="inlineStr">
        <is>
          <t xml:space="preserve"> -</t>
        </is>
      </c>
      <c r="M17" s="41" t="n">
        <v>60</v>
      </c>
      <c r="N17" s="43" t="n">
        <v>7</v>
      </c>
      <c r="O17" s="41" t="n">
        <v>36</v>
      </c>
      <c r="P17" s="43" t="n">
        <v>4</v>
      </c>
      <c r="Q17" s="43" t="n">
        <v>559</v>
      </c>
      <c r="R17" s="41" t="n">
        <v>9.529999999999999</v>
      </c>
      <c r="S17" s="41" t="n">
        <v>9.529999999999999</v>
      </c>
      <c r="T17" s="41" t="n">
        <v>2.5</v>
      </c>
      <c r="U17" s="41" t="n">
        <v>10.24</v>
      </c>
      <c r="V17" s="44" t="n">
        <v>43344</v>
      </c>
      <c r="W17" s="41" t="n">
        <v>9.41</v>
      </c>
      <c r="X17" s="45" t="n">
        <v>44013</v>
      </c>
      <c r="Y17" s="41" t="n">
        <v>9.4</v>
      </c>
      <c r="Z17" s="45" t="n">
        <v>44378</v>
      </c>
      <c r="AA17" s="46">
        <f>IF(((W17-Y17)/1)&gt;0,(W17-Y17)/1,0.035)</f>
        <v/>
      </c>
      <c r="AB17" s="46">
        <f>IF(((U17-Y17)/2.83)&gt;0,(U17-Y17)/2.83,0.035)</f>
        <v/>
      </c>
      <c r="AC17" s="47">
        <f>MAX(AA17,AB17)</f>
        <v/>
      </c>
      <c r="AD17" s="47" t="inlineStr">
        <is>
          <t>LTCR</t>
        </is>
      </c>
      <c r="AE17" s="43">
        <f>(Y17-T17)/AC17</f>
        <v/>
      </c>
      <c r="AF17" s="53" t="n">
        <v>42705</v>
      </c>
      <c r="AG17" s="49" t="n">
        <v>1.74948665297741</v>
      </c>
      <c r="AH17" s="1" t="n"/>
    </row>
    <row r="18" ht="48" customHeight="1" s="101">
      <c r="A18" s="119" t="n"/>
      <c r="B18" s="120" t="n"/>
      <c r="C18" s="120" t="n"/>
      <c r="D18" s="120" t="n"/>
      <c r="E18" s="40" t="inlineStr">
        <is>
          <t>Channel</t>
        </is>
      </c>
      <c r="F18" s="40" t="inlineStr">
        <is>
          <t>Hydrogen Saturated with water</t>
        </is>
      </c>
      <c r="G18" s="41" t="inlineStr">
        <is>
          <t>Gas</t>
        </is>
      </c>
      <c r="H18" s="119" t="n"/>
      <c r="I18" s="40" t="inlineStr">
        <is>
          <t>Stainless Steel</t>
        </is>
      </c>
      <c r="J18" s="40" t="inlineStr">
        <is>
          <t>SA-240M</t>
        </is>
      </c>
      <c r="K18" s="40" t="inlineStr">
        <is>
          <t>TP304L</t>
        </is>
      </c>
      <c r="L18" s="40" t="inlineStr">
        <is>
          <t xml:space="preserve"> -</t>
        </is>
      </c>
      <c r="M18" s="41" t="n">
        <v>110</v>
      </c>
      <c r="N18" s="43" t="n">
        <v>1.1</v>
      </c>
      <c r="O18" s="41" t="n">
        <v>87</v>
      </c>
      <c r="P18" s="43" t="n">
        <v>0.3</v>
      </c>
      <c r="Q18" s="43" t="n">
        <v>550</v>
      </c>
      <c r="R18" s="41" t="n">
        <v>5</v>
      </c>
      <c r="S18" s="41" t="n">
        <v>5</v>
      </c>
      <c r="T18" s="41" t="n">
        <v>1.5</v>
      </c>
      <c r="U18" s="41" t="n">
        <v>5.55</v>
      </c>
      <c r="V18" s="44" t="n">
        <v>43344</v>
      </c>
      <c r="W18" s="41" t="n">
        <v>5.15</v>
      </c>
      <c r="X18" s="45" t="n">
        <v>44013</v>
      </c>
      <c r="Y18" s="41" t="n">
        <v>5.29</v>
      </c>
      <c r="Z18" s="45" t="n">
        <v>44378</v>
      </c>
      <c r="AA18" s="47">
        <f>(W18-Y18)/((Z18-X18)/365.25)</f>
        <v/>
      </c>
      <c r="AB18" s="47">
        <f>(U18-Y18)/((Z18-V18)/365.25)</f>
        <v/>
      </c>
      <c r="AC18" s="47">
        <f>MAX(AA18,AB18)</f>
        <v/>
      </c>
      <c r="AD18" s="47" t="inlineStr">
        <is>
          <t>STCR</t>
        </is>
      </c>
      <c r="AE18" s="43">
        <f>(Y18-T18)/AC18</f>
        <v/>
      </c>
      <c r="AF18" s="53" t="n">
        <v>42705</v>
      </c>
      <c r="AG18" s="49" t="n">
        <v>1.74948665297741</v>
      </c>
      <c r="AH18" s="1" t="n"/>
    </row>
    <row r="19" ht="48" customHeight="1" s="101">
      <c r="A19" s="54" t="n">
        <v>6</v>
      </c>
      <c r="B19" s="66" t="inlineStr">
        <is>
          <t>E620</t>
        </is>
      </c>
      <c r="C19" s="66" t="inlineStr">
        <is>
          <t>PMT 94028</t>
        </is>
      </c>
      <c r="D19" s="61" t="inlineStr">
        <is>
          <t>H2 Gas Cooler</t>
        </is>
      </c>
      <c r="E19" s="40" t="inlineStr">
        <is>
          <t>Shell</t>
        </is>
      </c>
      <c r="F19" s="40" t="inlineStr">
        <is>
          <t>Chilled Water</t>
        </is>
      </c>
      <c r="G19" s="41" t="inlineStr">
        <is>
          <t>Liquid</t>
        </is>
      </c>
      <c r="H19" s="40" t="inlineStr">
        <is>
          <t>ASME Section VIII Div. 1 2001 ED</t>
        </is>
      </c>
      <c r="I19" s="40" t="inlineStr">
        <is>
          <t>Carbon Steel</t>
        </is>
      </c>
      <c r="J19" s="40" t="inlineStr">
        <is>
          <t>SA333</t>
        </is>
      </c>
      <c r="K19" s="40" t="inlineStr">
        <is>
          <t>Grade 6</t>
        </is>
      </c>
      <c r="L19" s="40" t="inlineStr">
        <is>
          <t xml:space="preserve"> -</t>
        </is>
      </c>
      <c r="M19" s="41" t="n">
        <v>60</v>
      </c>
      <c r="N19" s="43" t="n">
        <v>4.9</v>
      </c>
      <c r="O19" s="41" t="n">
        <v>13</v>
      </c>
      <c r="P19" s="43" t="n">
        <v>4.5</v>
      </c>
      <c r="Q19" s="43" t="n">
        <v>323.9</v>
      </c>
      <c r="R19" s="41" t="n">
        <v>9.529999999999999</v>
      </c>
      <c r="S19" s="41" t="n">
        <v>9.529999999999999</v>
      </c>
      <c r="T19" s="41" t="n">
        <v>2.5</v>
      </c>
      <c r="U19" s="41" t="n">
        <v>8.1</v>
      </c>
      <c r="V19" s="44" t="n">
        <v>43344</v>
      </c>
      <c r="W19" s="41" t="n">
        <v>8.1</v>
      </c>
      <c r="X19" s="45" t="n">
        <v>44013</v>
      </c>
      <c r="Y19" s="41" t="n">
        <v>8.07</v>
      </c>
      <c r="Z19" s="45" t="n">
        <v>44378</v>
      </c>
      <c r="AA19" s="46">
        <f>IF(((W19-Y19)/1)&gt;0,(W19-Y19)/1,0.035)</f>
        <v/>
      </c>
      <c r="AB19" s="46">
        <f>IF(((U19-Y19)/2.83)&gt;0,(U19-Y19)/2.83,0.035)</f>
        <v/>
      </c>
      <c r="AC19" s="47">
        <f>MAX(AA19,AB19)</f>
        <v/>
      </c>
      <c r="AD19" s="47" t="inlineStr">
        <is>
          <t>LTCR</t>
        </is>
      </c>
      <c r="AE19" s="43">
        <f>(Y19-T19)/AC19</f>
        <v/>
      </c>
      <c r="AF19" s="53" t="n">
        <v>35247</v>
      </c>
      <c r="AG19" s="49" t="n">
        <v>22.1683778234086</v>
      </c>
      <c r="AH19" s="1" t="n"/>
    </row>
    <row r="20" ht="48" customHeight="1" s="101">
      <c r="A20" s="119" t="n"/>
      <c r="B20" s="120" t="n"/>
      <c r="C20" s="120" t="n"/>
      <c r="D20" s="120" t="n"/>
      <c r="E20" s="40" t="inlineStr">
        <is>
          <t>Channel</t>
        </is>
      </c>
      <c r="F20" s="40" t="inlineStr">
        <is>
          <t>Hydrogen</t>
        </is>
      </c>
      <c r="G20" s="41" t="inlineStr">
        <is>
          <t>Gas</t>
        </is>
      </c>
      <c r="H20" s="119" t="n"/>
      <c r="I20" s="40" t="inlineStr">
        <is>
          <t>Carbon Steel</t>
        </is>
      </c>
      <c r="J20" s="40" t="inlineStr">
        <is>
          <t>SA333</t>
        </is>
      </c>
      <c r="K20" s="40" t="inlineStr">
        <is>
          <t>Grade 6</t>
        </is>
      </c>
      <c r="L20" s="40" t="inlineStr">
        <is>
          <t xml:space="preserve"> -</t>
        </is>
      </c>
      <c r="M20" s="41" t="n">
        <v>60</v>
      </c>
      <c r="N20" s="43" t="n">
        <v>0.98</v>
      </c>
      <c r="O20" s="41" t="n">
        <v>40</v>
      </c>
      <c r="P20" s="43" t="n">
        <v>0.3</v>
      </c>
      <c r="Q20" s="43" t="n">
        <v>323.9</v>
      </c>
      <c r="R20" s="41" t="n">
        <v>9.529999999999999</v>
      </c>
      <c r="S20" s="41" t="n">
        <v>9.529999999999999</v>
      </c>
      <c r="T20" s="41" t="n">
        <v>1.5</v>
      </c>
      <c r="U20" s="41" t="n">
        <v>8.1</v>
      </c>
      <c r="V20" s="44" t="n">
        <v>43344</v>
      </c>
      <c r="W20" s="41" t="n">
        <v>8.09</v>
      </c>
      <c r="X20" s="45" t="n">
        <v>44013</v>
      </c>
      <c r="Y20" s="41" t="n">
        <v>8.01</v>
      </c>
      <c r="Z20" s="45" t="n">
        <v>44378</v>
      </c>
      <c r="AA20" s="46">
        <f>IF(((W20-Y20)/1)&gt;0,(W20-Y20)/1,0.035)</f>
        <v/>
      </c>
      <c r="AB20" s="46">
        <f>IF(((U20-Y20)/2.83)&gt;0,(U20-Y20)/2.83,0.035)</f>
        <v/>
      </c>
      <c r="AC20" s="47">
        <f>MAX(AA20,AB20)</f>
        <v/>
      </c>
      <c r="AD20" s="47" t="inlineStr">
        <is>
          <t>STCR</t>
        </is>
      </c>
      <c r="AE20" s="43">
        <f>(Y20-T20)/AC20</f>
        <v/>
      </c>
      <c r="AF20" s="53" t="n">
        <v>35247</v>
      </c>
      <c r="AG20" s="49" t="n">
        <v>22.1683778234086</v>
      </c>
      <c r="AH20" s="1" t="n"/>
    </row>
    <row r="21" ht="48" customHeight="1" s="101">
      <c r="A21" s="62" t="n">
        <v>7</v>
      </c>
      <c r="B21" s="63" t="inlineStr">
        <is>
          <t>E-480</t>
        </is>
      </c>
      <c r="C21" s="63" t="inlineStr">
        <is>
          <t>JH PMT 31051</t>
        </is>
      </c>
      <c r="D21" s="61" t="inlineStr">
        <is>
          <t>Condenser</t>
        </is>
      </c>
      <c r="E21" s="40" t="inlineStr">
        <is>
          <t>Shell</t>
        </is>
      </c>
      <c r="F21" s="40" t="inlineStr">
        <is>
          <t>R134a</t>
        </is>
      </c>
      <c r="G21" s="41" t="inlineStr">
        <is>
          <t>Liquid</t>
        </is>
      </c>
      <c r="H21" s="40" t="inlineStr">
        <is>
          <t>ASME Section VIII Div. 1 2015 ED</t>
        </is>
      </c>
      <c r="I21" s="40" t="inlineStr">
        <is>
          <t>Carbon Steel</t>
        </is>
      </c>
      <c r="J21" s="40" t="inlineStr">
        <is>
          <t>SA-516M</t>
        </is>
      </c>
      <c r="K21" s="40" t="inlineStr">
        <is>
          <t>Grade: 485</t>
        </is>
      </c>
      <c r="L21" s="40" t="inlineStr">
        <is>
          <t xml:space="preserve"> -</t>
        </is>
      </c>
      <c r="M21" s="41" t="n">
        <v>125</v>
      </c>
      <c r="N21" s="43" t="n">
        <v>21</v>
      </c>
      <c r="O21" s="41" t="n">
        <v>62.9</v>
      </c>
      <c r="P21" s="43" t="n">
        <v>12.2</v>
      </c>
      <c r="Q21" s="43" t="n">
        <v>426</v>
      </c>
      <c r="R21" s="41" t="n">
        <v>8</v>
      </c>
      <c r="S21" s="41" t="n">
        <v>8</v>
      </c>
      <c r="T21" s="41" t="n">
        <v>4.52</v>
      </c>
      <c r="U21" s="41" t="n">
        <v>8.02</v>
      </c>
      <c r="V21" s="44" t="n">
        <v>43344</v>
      </c>
      <c r="W21" s="41" t="n">
        <v>7.78</v>
      </c>
      <c r="X21" s="45" t="n">
        <v>44013</v>
      </c>
      <c r="Y21" s="41" t="n">
        <v>7.9</v>
      </c>
      <c r="Z21" s="45" t="n">
        <v>44378</v>
      </c>
      <c r="AA21" s="46">
        <f>IF(((W21-Y21)/1)&gt;0,(W21-Y21)/1,0.035)</f>
        <v/>
      </c>
      <c r="AB21" s="46">
        <f>IF(((U21-Y21)/2.83)&gt;0,(U21-Y21)/2.83,0.035)</f>
        <v/>
      </c>
      <c r="AC21" s="47">
        <f>MAX(AA21,AB21)</f>
        <v/>
      </c>
      <c r="AD21" s="47" t="inlineStr">
        <is>
          <t>LTCR</t>
        </is>
      </c>
      <c r="AE21" s="43">
        <f>(Y21-T21)/AC21</f>
        <v/>
      </c>
      <c r="AF21" s="53" t="n">
        <v>42705</v>
      </c>
      <c r="AG21" s="49" t="n">
        <v>1.74948665297741</v>
      </c>
      <c r="AH21" s="1" t="n"/>
    </row>
    <row r="22" ht="48" customHeight="1" s="101">
      <c r="A22" s="62" t="n"/>
      <c r="B22" s="64" t="n"/>
      <c r="C22" s="64" t="n"/>
      <c r="D22" s="65" t="n"/>
      <c r="E22" s="40" t="inlineStr">
        <is>
          <t>Channel</t>
        </is>
      </c>
      <c r="F22" s="40" t="inlineStr">
        <is>
          <t>Water</t>
        </is>
      </c>
      <c r="G22" s="41" t="inlineStr">
        <is>
          <t>Liquid</t>
        </is>
      </c>
      <c r="H22" s="119" t="n"/>
      <c r="I22" s="40" t="inlineStr">
        <is>
          <t>Carbon Steel</t>
        </is>
      </c>
      <c r="J22" s="40" t="inlineStr">
        <is>
          <t>SA-516M</t>
        </is>
      </c>
      <c r="K22" s="40" t="inlineStr">
        <is>
          <t>Grade: 485</t>
        </is>
      </c>
      <c r="L22" s="40" t="inlineStr">
        <is>
          <t xml:space="preserve"> -</t>
        </is>
      </c>
      <c r="M22" s="41" t="n">
        <v>50</v>
      </c>
      <c r="N22" s="43" t="n">
        <v>10</v>
      </c>
      <c r="O22" s="41" t="n">
        <v>36</v>
      </c>
      <c r="P22" s="43" t="n">
        <v>3.5</v>
      </c>
      <c r="Q22" s="43" t="n">
        <v>426</v>
      </c>
      <c r="R22" s="41" t="n">
        <v>8</v>
      </c>
      <c r="S22" s="41" t="n">
        <v>8</v>
      </c>
      <c r="T22" s="41" t="n">
        <v>2.5</v>
      </c>
      <c r="U22" s="41" t="n">
        <v>7.69</v>
      </c>
      <c r="V22" s="44" t="n">
        <v>43344</v>
      </c>
      <c r="W22" s="41" t="n">
        <v>7.58</v>
      </c>
      <c r="X22" s="45" t="n">
        <v>44013</v>
      </c>
      <c r="Y22" s="41" t="n">
        <v>7.73</v>
      </c>
      <c r="Z22" s="45" t="n">
        <v>44378</v>
      </c>
      <c r="AA22" s="46">
        <f>IF(((W22-Y22)/1)&gt;0,(W22-Y22)/1,0.035)</f>
        <v/>
      </c>
      <c r="AB22" s="46">
        <f>IF(((U22-Y22)/2.83)&gt;0,(U22-Y22)/2.83,0.035)</f>
        <v/>
      </c>
      <c r="AC22" s="47">
        <f>MAX(AA22,AB22)</f>
        <v/>
      </c>
      <c r="AD22" s="47" t="inlineStr">
        <is>
          <t>ER</t>
        </is>
      </c>
      <c r="AE22" s="43">
        <f>(Y22-T22)/AC22</f>
        <v/>
      </c>
      <c r="AF22" s="53" t="n">
        <v>42705</v>
      </c>
      <c r="AG22" s="49" t="n">
        <v>1.74948665297741</v>
      </c>
      <c r="AH22" s="1" t="n"/>
    </row>
    <row r="23" ht="48" customHeight="1" s="101">
      <c r="A23" s="54" t="n">
        <v>8</v>
      </c>
      <c r="B23" s="66" t="inlineStr">
        <is>
          <t>E-481</t>
        </is>
      </c>
      <c r="C23" s="66" t="inlineStr">
        <is>
          <t>JH PMT 31057</t>
        </is>
      </c>
      <c r="D23" s="61" t="inlineStr">
        <is>
          <t>Economizer</t>
        </is>
      </c>
      <c r="E23" s="40" t="inlineStr">
        <is>
          <t>Shell</t>
        </is>
      </c>
      <c r="F23" s="40" t="inlineStr">
        <is>
          <t>R134a</t>
        </is>
      </c>
      <c r="G23" s="41" t="inlineStr">
        <is>
          <t>Liquid</t>
        </is>
      </c>
      <c r="H23" s="40" t="inlineStr">
        <is>
          <t>ASME Section VIII Div. 1 2015 ED</t>
        </is>
      </c>
      <c r="I23" s="40" t="inlineStr">
        <is>
          <t>Carbon Steel</t>
        </is>
      </c>
      <c r="J23" s="40" t="inlineStr">
        <is>
          <t>SA 106</t>
        </is>
      </c>
      <c r="K23" s="40" t="inlineStr">
        <is>
          <t>Grade B</t>
        </is>
      </c>
      <c r="L23" s="40" t="inlineStr">
        <is>
          <t xml:space="preserve"> -</t>
        </is>
      </c>
      <c r="M23" s="41" t="n">
        <v>50</v>
      </c>
      <c r="N23" s="43" t="n">
        <v>21</v>
      </c>
      <c r="O23" s="41" t="n">
        <v>42</v>
      </c>
      <c r="P23" s="43" t="n">
        <v>12.2</v>
      </c>
      <c r="Q23" s="43" t="n">
        <v>219.1</v>
      </c>
      <c r="R23" s="41" t="n">
        <v>8.18</v>
      </c>
      <c r="S23" s="41" t="n">
        <v>8.18</v>
      </c>
      <c r="T23" s="41" t="n">
        <v>1.82</v>
      </c>
      <c r="U23" s="41" t="n">
        <v>8.15</v>
      </c>
      <c r="V23" s="44" t="n">
        <v>43344</v>
      </c>
      <c r="W23" s="41" t="n">
        <v>8.15</v>
      </c>
      <c r="X23" s="45" t="n">
        <v>44013</v>
      </c>
      <c r="Y23" s="41" t="n">
        <v>8.15</v>
      </c>
      <c r="Z23" s="45" t="n">
        <v>44378</v>
      </c>
      <c r="AA23" s="46">
        <f>IF(((W23-Y23)/1)&gt;0,(W23-Y23)/1,0.035)</f>
        <v/>
      </c>
      <c r="AB23" s="46">
        <f>IF(((U23-Y23)/2.83)&gt;0,(U23-Y23)/2.83,0.035)</f>
        <v/>
      </c>
      <c r="AC23" s="47">
        <f>MAX(AA23,AB23)</f>
        <v/>
      </c>
      <c r="AD23" s="47" t="inlineStr">
        <is>
          <t>ER</t>
        </is>
      </c>
      <c r="AE23" s="43">
        <f>(Y23-T23)/AC23</f>
        <v/>
      </c>
      <c r="AF23" s="53" t="n">
        <v>42705</v>
      </c>
      <c r="AG23" s="49" t="n">
        <v>1.74948665297741</v>
      </c>
      <c r="AH23" s="1" t="n"/>
    </row>
    <row r="24" ht="48" customHeight="1" s="101">
      <c r="A24" s="54" t="n">
        <v>9</v>
      </c>
      <c r="B24" s="66" t="inlineStr">
        <is>
          <t>E-460</t>
        </is>
      </c>
      <c r="C24" s="66" t="inlineStr">
        <is>
          <t>JH PMT 31058</t>
        </is>
      </c>
      <c r="D24" s="61" t="inlineStr">
        <is>
          <t>Evaporator</t>
        </is>
      </c>
      <c r="E24" s="40" t="inlineStr">
        <is>
          <t>Shell</t>
        </is>
      </c>
      <c r="F24" s="40" t="inlineStr">
        <is>
          <t>R134a</t>
        </is>
      </c>
      <c r="G24" s="41" t="inlineStr">
        <is>
          <t>Liquid</t>
        </is>
      </c>
      <c r="H24" s="40" t="inlineStr">
        <is>
          <t>ASME Section VIII Div. 1 2015 ED</t>
        </is>
      </c>
      <c r="I24" s="40" t="inlineStr">
        <is>
          <t>Carbon Steel</t>
        </is>
      </c>
      <c r="J24" s="40" t="inlineStr">
        <is>
          <t>SA-516M</t>
        </is>
      </c>
      <c r="K24" s="40" t="inlineStr">
        <is>
          <t>Grade: 485</t>
        </is>
      </c>
      <c r="L24" s="40" t="inlineStr">
        <is>
          <t xml:space="preserve"> -</t>
        </is>
      </c>
      <c r="M24" s="41" t="n">
        <v>50</v>
      </c>
      <c r="N24" s="43" t="n">
        <v>21</v>
      </c>
      <c r="O24" s="41" t="n">
        <v>-16.45</v>
      </c>
      <c r="P24" s="43" t="n">
        <v>12.2</v>
      </c>
      <c r="Q24" s="43" t="n">
        <v>600</v>
      </c>
      <c r="R24" s="41" t="n">
        <v>10</v>
      </c>
      <c r="S24" s="41" t="n">
        <v>10</v>
      </c>
      <c r="T24" s="41" t="n">
        <v>6.39</v>
      </c>
      <c r="U24" s="41" t="n">
        <v>10.14</v>
      </c>
      <c r="V24" s="44" t="n">
        <v>43344</v>
      </c>
      <c r="W24" s="41" t="n">
        <v>9.74</v>
      </c>
      <c r="X24" s="45" t="n">
        <v>44013</v>
      </c>
      <c r="Y24" s="41" t="n">
        <v>9.789999999999999</v>
      </c>
      <c r="Z24" s="45" t="n">
        <v>44378</v>
      </c>
      <c r="AA24" s="46">
        <f>IF(((W24-Y24)/1)&gt;0,(W24-Y24)/1,0.035)</f>
        <v/>
      </c>
      <c r="AB24" s="46">
        <f>IF(((U24-Y24)/2.83)&gt;0,(U24-Y24)/2.83,0.035)</f>
        <v/>
      </c>
      <c r="AC24" s="47">
        <f>MAX(AA24,AB24)</f>
        <v/>
      </c>
      <c r="AD24" s="47" t="inlineStr">
        <is>
          <t>LTCR</t>
        </is>
      </c>
      <c r="AE24" s="43">
        <f>(Y24-T24)/AC24</f>
        <v/>
      </c>
      <c r="AF24" s="53" t="n">
        <v>42705</v>
      </c>
      <c r="AG24" s="49" t="n">
        <v>1.74948665297741</v>
      </c>
      <c r="AH24" s="1" t="n"/>
    </row>
    <row r="25" ht="48" customHeight="1" s="101">
      <c r="A25" s="119" t="n"/>
      <c r="B25" s="120" t="n"/>
      <c r="C25" s="120" t="n"/>
      <c r="D25" s="120" t="n"/>
      <c r="E25" s="40" t="inlineStr">
        <is>
          <t>Channel</t>
        </is>
      </c>
      <c r="F25" s="40" t="inlineStr">
        <is>
          <t>Chlorine Gas</t>
        </is>
      </c>
      <c r="G25" s="41" t="inlineStr">
        <is>
          <t>Gas</t>
        </is>
      </c>
      <c r="H25" s="119" t="n"/>
      <c r="I25" s="40" t="inlineStr">
        <is>
          <t>Carbon Steel</t>
        </is>
      </c>
      <c r="J25" s="40" t="inlineStr">
        <is>
          <t>SA-516M</t>
        </is>
      </c>
      <c r="K25" s="40" t="inlineStr">
        <is>
          <t>Grade: 485</t>
        </is>
      </c>
      <c r="L25" s="40" t="inlineStr">
        <is>
          <t xml:space="preserve"> -</t>
        </is>
      </c>
      <c r="M25" s="41" t="n">
        <v>50</v>
      </c>
      <c r="N25" s="43" t="n">
        <v>10</v>
      </c>
      <c r="O25" s="41" t="n">
        <v>40</v>
      </c>
      <c r="P25" s="43" t="n">
        <v>3.2</v>
      </c>
      <c r="Q25" s="43" t="n">
        <v>600</v>
      </c>
      <c r="R25" s="41" t="n">
        <v>12</v>
      </c>
      <c r="S25" s="41" t="n">
        <v>12</v>
      </c>
      <c r="T25" s="41" t="n">
        <v>3.13</v>
      </c>
      <c r="U25" s="47" t="n">
        <v>12</v>
      </c>
      <c r="V25" s="44" t="n">
        <v>43344</v>
      </c>
      <c r="W25" s="41" t="n">
        <v>11.94</v>
      </c>
      <c r="X25" s="45" t="n">
        <v>44013</v>
      </c>
      <c r="Y25" s="41" t="n">
        <v>11.5</v>
      </c>
      <c r="Z25" s="45" t="n">
        <v>44378</v>
      </c>
      <c r="AA25" s="46">
        <f>IF(((W25-Y25)/1)&gt;0,(W25-Y25)/1,0.035)</f>
        <v/>
      </c>
      <c r="AB25" s="46">
        <f>IF(((U25-Y25)/2.83)&gt;0,(U25-Y25)/2.83,0.035)</f>
        <v/>
      </c>
      <c r="AC25" s="47">
        <f>MAX(AA25,AB25)</f>
        <v/>
      </c>
      <c r="AD25" s="47" t="inlineStr">
        <is>
          <t>LTCR</t>
        </is>
      </c>
      <c r="AE25" s="43">
        <f>(Y25-T25)/AC25</f>
        <v/>
      </c>
      <c r="AF25" s="53" t="n">
        <v>42705</v>
      </c>
      <c r="AG25" s="49" t="n">
        <v>1.74948665297741</v>
      </c>
      <c r="AH25" s="1" t="n"/>
    </row>
    <row r="26" ht="48" customHeight="1" s="101">
      <c r="A26" s="54" t="n">
        <v>10</v>
      </c>
      <c r="B26" s="66" t="inlineStr">
        <is>
          <t>E-482A</t>
        </is>
      </c>
      <c r="C26" s="66" t="inlineStr">
        <is>
          <t>JH PMT 31056</t>
        </is>
      </c>
      <c r="D26" s="61" t="inlineStr">
        <is>
          <t>Oil Cooler</t>
        </is>
      </c>
      <c r="E26" s="40" t="inlineStr">
        <is>
          <t>Shell</t>
        </is>
      </c>
      <c r="F26" s="40" t="inlineStr">
        <is>
          <t>Lube Oil</t>
        </is>
      </c>
      <c r="G26" s="41" t="inlineStr">
        <is>
          <t>Liquid</t>
        </is>
      </c>
      <c r="H26" s="40" t="inlineStr">
        <is>
          <t>ASME Section VIII Div. 1 2015 ED</t>
        </is>
      </c>
      <c r="I26" s="40" t="inlineStr">
        <is>
          <t>Carbon Steel</t>
        </is>
      </c>
      <c r="J26" s="40" t="inlineStr">
        <is>
          <t>SA 106</t>
        </is>
      </c>
      <c r="K26" s="40" t="inlineStr">
        <is>
          <t>Grade B</t>
        </is>
      </c>
      <c r="L26" s="40" t="inlineStr">
        <is>
          <t xml:space="preserve"> -</t>
        </is>
      </c>
      <c r="M26" s="41" t="n">
        <v>125</v>
      </c>
      <c r="N26" s="43" t="n">
        <v>21</v>
      </c>
      <c r="O26" s="41" t="n">
        <v>74.2</v>
      </c>
      <c r="P26" s="43" t="n">
        <v>18</v>
      </c>
      <c r="Q26" s="43" t="n">
        <v>219.1</v>
      </c>
      <c r="R26" s="41" t="n">
        <v>8.18</v>
      </c>
      <c r="S26" s="41" t="n">
        <v>8.18</v>
      </c>
      <c r="T26" s="41" t="n">
        <v>1.82</v>
      </c>
      <c r="U26" s="41" t="n">
        <v>8.02</v>
      </c>
      <c r="V26" s="44" t="n">
        <v>43344</v>
      </c>
      <c r="W26" s="47" t="n">
        <v>8</v>
      </c>
      <c r="X26" s="45" t="n">
        <v>44013</v>
      </c>
      <c r="Y26" s="41" t="n">
        <v>8.119999999999999</v>
      </c>
      <c r="Z26" s="45" t="n">
        <v>44378</v>
      </c>
      <c r="AA26" s="46">
        <f>IF(((W26-Y26)/1)&gt;0,(W26-Y26)/1,0.035)</f>
        <v/>
      </c>
      <c r="AB26" s="46">
        <f>IF(((U26-Y26)/2.83)&gt;0,(U26-Y26)/2.83,0.035)</f>
        <v/>
      </c>
      <c r="AC26" s="46">
        <f>IF(((V26-Z26)/2.83)&gt;0,(V26-Z26)/2.83,0.035)</f>
        <v/>
      </c>
      <c r="AD26" s="47" t="inlineStr">
        <is>
          <t>ER</t>
        </is>
      </c>
      <c r="AE26" s="43">
        <f>(Y26-T26)/AC26</f>
        <v/>
      </c>
      <c r="AF26" s="53" t="n">
        <v>42705</v>
      </c>
      <c r="AG26" s="49" t="n">
        <v>1.74948665297741</v>
      </c>
      <c r="AH26" s="1" t="n"/>
    </row>
    <row r="27" ht="48" customHeight="1" s="101">
      <c r="A27" s="54" t="n">
        <v>11</v>
      </c>
      <c r="B27" s="66" t="inlineStr">
        <is>
          <t>E-482B</t>
        </is>
      </c>
      <c r="C27" s="66" t="inlineStr">
        <is>
          <t>JH PMT 31053</t>
        </is>
      </c>
      <c r="D27" s="61" t="inlineStr">
        <is>
          <t>Oil Cooler</t>
        </is>
      </c>
      <c r="E27" s="40" t="inlineStr">
        <is>
          <t>Shell</t>
        </is>
      </c>
      <c r="F27" s="40" t="inlineStr">
        <is>
          <t>Lube Oil</t>
        </is>
      </c>
      <c r="G27" s="41" t="inlineStr">
        <is>
          <t>Liquid</t>
        </is>
      </c>
      <c r="H27" s="40" t="inlineStr">
        <is>
          <t>ASME Section VIII Div. 1 2015 ED</t>
        </is>
      </c>
      <c r="I27" s="40" t="inlineStr">
        <is>
          <t>Carbon Steel</t>
        </is>
      </c>
      <c r="J27" s="40" t="inlineStr">
        <is>
          <t>SA 106</t>
        </is>
      </c>
      <c r="K27" s="40" t="inlineStr">
        <is>
          <t>Grade B</t>
        </is>
      </c>
      <c r="L27" s="40" t="inlineStr">
        <is>
          <t xml:space="preserve"> -</t>
        </is>
      </c>
      <c r="M27" s="41" t="n">
        <v>125</v>
      </c>
      <c r="N27" s="43" t="n">
        <v>21</v>
      </c>
      <c r="O27" s="41" t="n">
        <v>74.2</v>
      </c>
      <c r="P27" s="43" t="n">
        <v>18</v>
      </c>
      <c r="Q27" s="43" t="n">
        <v>219.1</v>
      </c>
      <c r="R27" s="41" t="n">
        <v>8.18</v>
      </c>
      <c r="S27" s="41" t="n">
        <v>8.18</v>
      </c>
      <c r="T27" s="41" t="n">
        <v>1.82</v>
      </c>
      <c r="U27" s="41" t="n">
        <v>8.58</v>
      </c>
      <c r="V27" s="44" t="n">
        <v>43344</v>
      </c>
      <c r="W27" s="47" t="n">
        <v>8.390000000000001</v>
      </c>
      <c r="X27" s="45" t="n">
        <v>44013</v>
      </c>
      <c r="Y27" s="41" t="n">
        <v>8.17</v>
      </c>
      <c r="Z27" s="45" t="n">
        <v>44378</v>
      </c>
      <c r="AA27" s="47">
        <f>(W27-Y27)/((Z27-X27)/365.25)</f>
        <v/>
      </c>
      <c r="AB27" s="47">
        <f>(U27-Y27)/((Z27-V27)/365.25)</f>
        <v/>
      </c>
      <c r="AC27" s="47">
        <f>MAX(AA27,AB27)</f>
        <v/>
      </c>
      <c r="AD27" s="47" t="inlineStr">
        <is>
          <t>LTCR</t>
        </is>
      </c>
      <c r="AE27" s="43">
        <f>(Y27-T27)/AC27</f>
        <v/>
      </c>
      <c r="AF27" s="53" t="n">
        <v>42705</v>
      </c>
      <c r="AG27" s="49" t="n">
        <v>1.74948665297741</v>
      </c>
      <c r="AH27" s="1" t="n"/>
    </row>
    <row r="28" ht="48" customHeight="1" s="101">
      <c r="A28" s="121" t="n">
        <v>12</v>
      </c>
      <c r="B28" s="55" t="inlineStr">
        <is>
          <t>D-482</t>
        </is>
      </c>
      <c r="C28" s="55" t="inlineStr">
        <is>
          <t>JH PMT 31055</t>
        </is>
      </c>
      <c r="D28" s="122" t="inlineStr">
        <is>
          <t>Oil Distiller</t>
        </is>
      </c>
      <c r="E28" s="40" t="inlineStr">
        <is>
          <t>Shell</t>
        </is>
      </c>
      <c r="F28" s="40" t="inlineStr">
        <is>
          <t>R134a &amp; Oil</t>
        </is>
      </c>
      <c r="G28" s="41" t="inlineStr">
        <is>
          <t>Liquid</t>
        </is>
      </c>
      <c r="H28" s="40" t="inlineStr">
        <is>
          <t>ASME Section VIII Div. 1 2015 ED</t>
        </is>
      </c>
      <c r="I28" s="40" t="inlineStr">
        <is>
          <t>Carbon Steel</t>
        </is>
      </c>
      <c r="J28" s="40" t="inlineStr">
        <is>
          <t>SA 106</t>
        </is>
      </c>
      <c r="K28" s="40" t="inlineStr">
        <is>
          <t>Grade B</t>
        </is>
      </c>
      <c r="L28" s="40" t="inlineStr">
        <is>
          <t xml:space="preserve"> -</t>
        </is>
      </c>
      <c r="M28" s="41" t="n">
        <v>55</v>
      </c>
      <c r="N28" s="43" t="n">
        <v>21</v>
      </c>
      <c r="O28" s="41" t="n">
        <v>42</v>
      </c>
      <c r="P28" s="43" t="n">
        <v>16.8</v>
      </c>
      <c r="Q28" s="43" t="n">
        <v>323.8</v>
      </c>
      <c r="R28" s="41" t="n">
        <v>10.31</v>
      </c>
      <c r="S28" s="41" t="n">
        <v>10.31</v>
      </c>
      <c r="T28" s="41" t="n">
        <v>3.21</v>
      </c>
      <c r="U28" s="41" t="n">
        <v>10.16</v>
      </c>
      <c r="V28" s="44" t="n">
        <v>43344</v>
      </c>
      <c r="W28" s="41" t="n">
        <v>10.08</v>
      </c>
      <c r="X28" s="45" t="n">
        <v>44013</v>
      </c>
      <c r="Y28" s="41" t="n">
        <v>9.82</v>
      </c>
      <c r="Z28" s="45" t="n">
        <v>44378</v>
      </c>
      <c r="AA28" s="46">
        <f>IF(((W28-Y28)/1)&gt;0,(W28-Y28)/1,0.035)</f>
        <v/>
      </c>
      <c r="AB28" s="46">
        <f>IF(((U28-Y28)/2.83)&gt;0,(U28-Y28)/2.83,0.035)</f>
        <v/>
      </c>
      <c r="AC28" s="47">
        <f>MAX(AA28,AB28)</f>
        <v/>
      </c>
      <c r="AD28" s="47" t="inlineStr">
        <is>
          <t>LTCR</t>
        </is>
      </c>
      <c r="AE28" s="43">
        <f>(Y28-T28)/AC28</f>
        <v/>
      </c>
      <c r="AF28" s="53" t="n">
        <v>42705</v>
      </c>
      <c r="AG28" s="49" t="n">
        <v>1.74948665297741</v>
      </c>
      <c r="AH28" s="1" t="n"/>
    </row>
    <row r="29" ht="48" customHeight="1" s="101">
      <c r="A29" s="120" t="n"/>
      <c r="B29" s="120" t="n"/>
      <c r="C29" s="120" t="n"/>
      <c r="D29" s="120" t="n"/>
      <c r="E29" s="40" t="inlineStr">
        <is>
          <t>East Head</t>
        </is>
      </c>
      <c r="F29" s="40" t="inlineStr">
        <is>
          <t>R134a &amp; Oil</t>
        </is>
      </c>
      <c r="G29" s="41" t="inlineStr">
        <is>
          <t>Liquid</t>
        </is>
      </c>
      <c r="H29" s="120" t="n"/>
      <c r="I29" s="40" t="inlineStr">
        <is>
          <t>Carbon Steel</t>
        </is>
      </c>
      <c r="J29" s="40" t="inlineStr">
        <is>
          <t>SA-516M</t>
        </is>
      </c>
      <c r="K29" s="40" t="inlineStr">
        <is>
          <t>Grade: 485</t>
        </is>
      </c>
      <c r="L29" s="40" t="inlineStr">
        <is>
          <t xml:space="preserve"> -</t>
        </is>
      </c>
      <c r="M29" s="41" t="n">
        <v>55</v>
      </c>
      <c r="N29" s="43" t="n">
        <v>21</v>
      </c>
      <c r="O29" s="41" t="n">
        <v>42</v>
      </c>
      <c r="P29" s="43" t="n">
        <v>16.8</v>
      </c>
      <c r="Q29" s="43" t="n">
        <v>323.8</v>
      </c>
      <c r="R29" s="41" t="n">
        <v>10</v>
      </c>
      <c r="S29" s="41" t="n">
        <v>10</v>
      </c>
      <c r="T29" s="41" t="n">
        <v>2.72</v>
      </c>
      <c r="U29" s="41" t="n">
        <v>10.2</v>
      </c>
      <c r="V29" s="44" t="n">
        <v>43344</v>
      </c>
      <c r="W29" s="41" t="n">
        <v>9.85</v>
      </c>
      <c r="X29" s="45" t="n">
        <v>44013</v>
      </c>
      <c r="Y29" s="41" t="n">
        <v>9.9</v>
      </c>
      <c r="Z29" s="45" t="n">
        <v>44378</v>
      </c>
      <c r="AA29" s="46">
        <f>IF(((W29-Y29)/1)&gt;0,(W29-Y29)/1,0.035)</f>
        <v/>
      </c>
      <c r="AB29" s="46">
        <f>IF(((U29-Y29)/2.83)&gt;0,(U29-Y29)/2.83,0.035)</f>
        <v/>
      </c>
      <c r="AC29" s="47">
        <f>MAX(AA29,AB29)</f>
        <v/>
      </c>
      <c r="AD29" s="47" t="inlineStr">
        <is>
          <t>LTCR</t>
        </is>
      </c>
      <c r="AE29" s="43">
        <f>(Y29-T29)/AC29</f>
        <v/>
      </c>
      <c r="AF29" s="53" t="n">
        <v>42705</v>
      </c>
      <c r="AG29" s="49" t="n">
        <v>1.74948665297741</v>
      </c>
      <c r="AH29" s="1" t="n"/>
    </row>
    <row r="30" ht="48" customHeight="1" s="101">
      <c r="A30" s="119" t="n"/>
      <c r="B30" s="119" t="n"/>
      <c r="C30" s="119" t="n"/>
      <c r="D30" s="119" t="n"/>
      <c r="E30" s="40" t="inlineStr">
        <is>
          <t>West Head</t>
        </is>
      </c>
      <c r="F30" s="40" t="inlineStr">
        <is>
          <t>R134a &amp; Oil</t>
        </is>
      </c>
      <c r="G30" s="41" t="inlineStr">
        <is>
          <t>Liquid</t>
        </is>
      </c>
      <c r="H30" s="119" t="n"/>
      <c r="I30" s="40" t="inlineStr">
        <is>
          <t>Carbon Steel</t>
        </is>
      </c>
      <c r="J30" s="40" t="inlineStr">
        <is>
          <t>SA-516M</t>
        </is>
      </c>
      <c r="K30" s="40" t="inlineStr">
        <is>
          <t>Grade: 485</t>
        </is>
      </c>
      <c r="L30" s="40" t="inlineStr">
        <is>
          <t xml:space="preserve"> -</t>
        </is>
      </c>
      <c r="M30" s="41" t="n">
        <v>55</v>
      </c>
      <c r="N30" s="43" t="n">
        <v>21</v>
      </c>
      <c r="O30" s="41" t="n">
        <v>42</v>
      </c>
      <c r="P30" s="43" t="n">
        <v>16.8</v>
      </c>
      <c r="Q30" s="43" t="n">
        <v>323.8</v>
      </c>
      <c r="R30" s="41" t="n">
        <v>10</v>
      </c>
      <c r="S30" s="41" t="n">
        <v>10</v>
      </c>
      <c r="T30" s="41" t="n">
        <v>2.72</v>
      </c>
      <c r="U30" s="41" t="n">
        <v>10.26</v>
      </c>
      <c r="V30" s="44" t="n">
        <v>43344</v>
      </c>
      <c r="W30" s="41" t="n">
        <v>9.960000000000001</v>
      </c>
      <c r="X30" s="45" t="n">
        <v>44013</v>
      </c>
      <c r="Y30" s="41" t="n">
        <v>9.699999999999999</v>
      </c>
      <c r="Z30" s="45" t="n">
        <v>44378</v>
      </c>
      <c r="AA30" s="46">
        <f>IF(((W30-Y30)/1)&gt;0,(W30-Y30)/1,0.035)</f>
        <v/>
      </c>
      <c r="AB30" s="46">
        <f>IF(((U30-Y30)/2.83)&gt;0,(U30-Y30)/2.83,0.035)</f>
        <v/>
      </c>
      <c r="AC30" s="47">
        <f>MAX(AA30,AB30)</f>
        <v/>
      </c>
      <c r="AD30" s="47" t="inlineStr">
        <is>
          <t>STCR</t>
        </is>
      </c>
      <c r="AE30" s="43">
        <f>(Y30-T30)/AC30</f>
        <v/>
      </c>
      <c r="AF30" s="53" t="n">
        <v>42705</v>
      </c>
      <c r="AG30" s="49" t="n">
        <v>1.74948665297741</v>
      </c>
      <c r="AH30" s="1" t="n"/>
    </row>
    <row r="31" ht="48" customHeight="1" s="101">
      <c r="A31" s="54" t="n">
        <v>13</v>
      </c>
      <c r="B31" s="55" t="inlineStr">
        <is>
          <t>D-480</t>
        </is>
      </c>
      <c r="C31" s="55" t="inlineStr">
        <is>
          <t>JH PMT 31054</t>
        </is>
      </c>
      <c r="D31" s="122" t="inlineStr">
        <is>
          <t>Receiver</t>
        </is>
      </c>
      <c r="E31" s="40" t="inlineStr">
        <is>
          <t>Shell</t>
        </is>
      </c>
      <c r="F31" s="40" t="inlineStr">
        <is>
          <t xml:space="preserve">R134a </t>
        </is>
      </c>
      <c r="G31" s="41" t="inlineStr">
        <is>
          <t>Liquid</t>
        </is>
      </c>
      <c r="H31" s="40" t="inlineStr">
        <is>
          <t>ASME Section VIII Div. 1 2015 ED</t>
        </is>
      </c>
      <c r="I31" s="40" t="inlineStr">
        <is>
          <t>Carbon Steel</t>
        </is>
      </c>
      <c r="J31" s="40" t="inlineStr">
        <is>
          <t>SA-516M</t>
        </is>
      </c>
      <c r="K31" s="40" t="inlineStr">
        <is>
          <t>Grade: 485</t>
        </is>
      </c>
      <c r="L31" s="40" t="inlineStr">
        <is>
          <t xml:space="preserve"> -</t>
        </is>
      </c>
      <c r="M31" s="41" t="n">
        <v>50</v>
      </c>
      <c r="N31" s="43" t="n">
        <v>21</v>
      </c>
      <c r="O31" s="41" t="n">
        <v>42</v>
      </c>
      <c r="P31" s="43" t="n">
        <v>9</v>
      </c>
      <c r="Q31" s="43" t="n">
        <v>774</v>
      </c>
      <c r="R31" s="41" t="n">
        <v>12</v>
      </c>
      <c r="S31" s="41" t="n">
        <v>12</v>
      </c>
      <c r="T31" s="41" t="n">
        <v>8.26</v>
      </c>
      <c r="U31" s="41" t="n">
        <v>11.74</v>
      </c>
      <c r="V31" s="44" t="n">
        <v>43344</v>
      </c>
      <c r="W31" s="41" t="n">
        <v>11.25</v>
      </c>
      <c r="X31" s="45" t="n">
        <v>44013</v>
      </c>
      <c r="Y31" s="41" t="n">
        <v>11.81</v>
      </c>
      <c r="Z31" s="45" t="n">
        <v>44378</v>
      </c>
      <c r="AA31" s="46">
        <f>IF(((W31-Y31)/1)&gt;0,(W31-Y31)/1,0.035)</f>
        <v/>
      </c>
      <c r="AB31" s="46">
        <f>IF(((U31-Y31)/2.83)&gt;0,(U31-Y31)/2.83,0.035)</f>
        <v/>
      </c>
      <c r="AC31" s="47">
        <f>MAX(AA31,AB31)</f>
        <v/>
      </c>
      <c r="AD31" s="47" t="inlineStr">
        <is>
          <t>ER</t>
        </is>
      </c>
      <c r="AE31" s="43">
        <f>(Y31-T31)/AC31</f>
        <v/>
      </c>
      <c r="AF31" s="53" t="n">
        <v>42705</v>
      </c>
      <c r="AG31" s="49" t="n">
        <v>1.74948665297741</v>
      </c>
      <c r="AH31" s="1" t="n"/>
    </row>
    <row r="32" ht="48" customHeight="1" s="101">
      <c r="A32" s="120" t="n"/>
      <c r="B32" s="120" t="n"/>
      <c r="C32" s="120" t="n"/>
      <c r="D32" s="120" t="n"/>
      <c r="E32" s="40" t="inlineStr">
        <is>
          <t>North Head</t>
        </is>
      </c>
      <c r="F32" s="40" t="inlineStr">
        <is>
          <t xml:space="preserve">R134a </t>
        </is>
      </c>
      <c r="G32" s="41" t="inlineStr">
        <is>
          <t>Liquid</t>
        </is>
      </c>
      <c r="H32" s="120" t="n"/>
      <c r="I32" s="40" t="inlineStr">
        <is>
          <t>Carbon Steel</t>
        </is>
      </c>
      <c r="J32" s="40" t="inlineStr">
        <is>
          <t>SA-516M</t>
        </is>
      </c>
      <c r="K32" s="40" t="inlineStr">
        <is>
          <t>Grade: 485</t>
        </is>
      </c>
      <c r="L32" s="40" t="inlineStr">
        <is>
          <t xml:space="preserve"> -</t>
        </is>
      </c>
      <c r="M32" s="41" t="n">
        <v>50</v>
      </c>
      <c r="N32" s="43" t="n">
        <v>21</v>
      </c>
      <c r="O32" s="41" t="n">
        <v>42</v>
      </c>
      <c r="P32" s="43" t="n">
        <v>9</v>
      </c>
      <c r="Q32" s="43" t="n">
        <v>774</v>
      </c>
      <c r="R32" s="41" t="n">
        <v>12</v>
      </c>
      <c r="S32" s="41" t="n">
        <v>12</v>
      </c>
      <c r="T32" s="41" t="n">
        <v>8.17</v>
      </c>
      <c r="U32" s="41" t="n">
        <v>11.47</v>
      </c>
      <c r="V32" s="44" t="n">
        <v>43344</v>
      </c>
      <c r="W32" s="41" t="n">
        <v>11.5</v>
      </c>
      <c r="X32" s="45" t="n">
        <v>44013</v>
      </c>
      <c r="Y32" s="41" t="n">
        <v>11.5</v>
      </c>
      <c r="Z32" s="45" t="n">
        <v>44378</v>
      </c>
      <c r="AA32" s="46">
        <f>IF(((W32-Y32)/1)&gt;0,(W32-Y32)/1,0.035)</f>
        <v/>
      </c>
      <c r="AB32" s="46">
        <f>IF(((U32-Y32)/2.83)&gt;0,(U32-Y32)/2.83,0.035)</f>
        <v/>
      </c>
      <c r="AC32" s="47">
        <f>MAX(AA32,AB32)</f>
        <v/>
      </c>
      <c r="AD32" s="47" t="inlineStr">
        <is>
          <t>ER</t>
        </is>
      </c>
      <c r="AE32" s="43">
        <f>(Y32-T32)/AC32</f>
        <v/>
      </c>
      <c r="AF32" s="53" t="n">
        <v>42705</v>
      </c>
      <c r="AG32" s="49" t="n">
        <v>1.74948665297741</v>
      </c>
      <c r="AH32" s="1" t="n"/>
    </row>
    <row r="33" ht="48" customHeight="1" s="101">
      <c r="A33" s="119" t="n"/>
      <c r="B33" s="119" t="n"/>
      <c r="C33" s="119" t="n"/>
      <c r="D33" s="119" t="n"/>
      <c r="E33" s="40" t="inlineStr">
        <is>
          <t>South Head</t>
        </is>
      </c>
      <c r="F33" s="40" t="inlineStr">
        <is>
          <t xml:space="preserve">R134a </t>
        </is>
      </c>
      <c r="G33" s="41" t="inlineStr">
        <is>
          <t>Liquid</t>
        </is>
      </c>
      <c r="H33" s="119" t="n"/>
      <c r="I33" s="40" t="inlineStr">
        <is>
          <t>Carbon Steel</t>
        </is>
      </c>
      <c r="J33" s="40" t="inlineStr">
        <is>
          <t>SA-516M</t>
        </is>
      </c>
      <c r="K33" s="40" t="inlineStr">
        <is>
          <t>Grade: 485</t>
        </is>
      </c>
      <c r="L33" s="40" t="inlineStr">
        <is>
          <t xml:space="preserve"> -</t>
        </is>
      </c>
      <c r="M33" s="41" t="n">
        <v>50</v>
      </c>
      <c r="N33" s="43" t="n">
        <v>21</v>
      </c>
      <c r="O33" s="41" t="n">
        <v>42</v>
      </c>
      <c r="P33" s="43" t="n">
        <v>9</v>
      </c>
      <c r="Q33" s="43" t="n">
        <v>774</v>
      </c>
      <c r="R33" s="41" t="n">
        <v>12</v>
      </c>
      <c r="S33" s="41" t="n">
        <v>12</v>
      </c>
      <c r="T33" s="41" t="n">
        <v>8.17</v>
      </c>
      <c r="U33" s="41" t="n">
        <v>11.85</v>
      </c>
      <c r="V33" s="44" t="n">
        <v>43344</v>
      </c>
      <c r="W33" s="41" t="n">
        <v>11.8</v>
      </c>
      <c r="X33" s="45" t="n">
        <v>44013</v>
      </c>
      <c r="Y33" s="41" t="n">
        <v>11.19</v>
      </c>
      <c r="Z33" s="45" t="n">
        <v>44378</v>
      </c>
      <c r="AA33" s="46">
        <f>IF(((W33-Y33)/1)&gt;0,(W33-Y33)/1,0.035)</f>
        <v/>
      </c>
      <c r="AB33" s="46">
        <f>IF(((U33-Y33)/2.83)&gt;0,(U33-Y33)/2.83,0.035)</f>
        <v/>
      </c>
      <c r="AC33" s="47">
        <f>MAX(AA33,AB33)</f>
        <v/>
      </c>
      <c r="AD33" s="47" t="inlineStr">
        <is>
          <t>STCR</t>
        </is>
      </c>
      <c r="AE33" s="43">
        <f>(Y33-T33)/AC33</f>
        <v/>
      </c>
      <c r="AF33" s="53" t="n">
        <v>42705</v>
      </c>
      <c r="AG33" s="49" t="n">
        <v>1.74948665297741</v>
      </c>
      <c r="AH33" s="1" t="n"/>
    </row>
    <row r="34" ht="48" customHeight="1" s="101">
      <c r="A34" s="54" t="n">
        <v>14</v>
      </c>
      <c r="B34" s="55" t="inlineStr">
        <is>
          <t>D-481A</t>
        </is>
      </c>
      <c r="C34" s="55" t="inlineStr">
        <is>
          <t>JH PMT 31052</t>
        </is>
      </c>
      <c r="D34" s="122" t="inlineStr">
        <is>
          <t>Oil Separator</t>
        </is>
      </c>
      <c r="E34" s="40" t="inlineStr">
        <is>
          <t>Shell</t>
        </is>
      </c>
      <c r="F34" s="40" t="inlineStr">
        <is>
          <t>R134a &amp; Lubricating Oil</t>
        </is>
      </c>
      <c r="G34" s="41" t="inlineStr">
        <is>
          <t>Liquid</t>
        </is>
      </c>
      <c r="H34" s="40" t="inlineStr">
        <is>
          <t>ASME Section VIII Div. 1 2015 ED + ASME CODE CASE 1518-5</t>
        </is>
      </c>
      <c r="I34" s="40" t="inlineStr">
        <is>
          <t>Carbon Steel</t>
        </is>
      </c>
      <c r="J34" s="40" t="inlineStr">
        <is>
          <t>SA-516M</t>
        </is>
      </c>
      <c r="K34" s="40" t="inlineStr">
        <is>
          <t>Grade: 485</t>
        </is>
      </c>
      <c r="L34" s="40" t="inlineStr">
        <is>
          <t xml:space="preserve"> -</t>
        </is>
      </c>
      <c r="M34" s="41" t="n">
        <v>125</v>
      </c>
      <c r="N34" s="43" t="n">
        <v>21</v>
      </c>
      <c r="O34" s="41" t="n">
        <v>60</v>
      </c>
      <c r="P34" s="43" t="n">
        <v>9</v>
      </c>
      <c r="Q34" s="43" t="n">
        <v>770</v>
      </c>
      <c r="R34" s="41" t="n">
        <v>10</v>
      </c>
      <c r="S34" s="41" t="n">
        <v>10</v>
      </c>
      <c r="T34" s="41" t="n">
        <v>8.26</v>
      </c>
      <c r="U34" s="41" t="n">
        <v>10.69</v>
      </c>
      <c r="V34" s="44" t="n">
        <v>43344</v>
      </c>
      <c r="W34" s="41" t="n">
        <v>10.28</v>
      </c>
      <c r="X34" s="45" t="n">
        <v>44013</v>
      </c>
      <c r="Y34" s="41" t="n">
        <v>10.28</v>
      </c>
      <c r="Z34" s="45" t="n">
        <v>44378</v>
      </c>
      <c r="AA34" s="46">
        <f>IF(((W34-Y34)/1)&gt;0,(W34-Y34)/1,0.035)</f>
        <v/>
      </c>
      <c r="AB34" s="46">
        <f>IF(((U34-Y34)/2.83)&gt;0,(U34-Y34)/2.83,0.035)</f>
        <v/>
      </c>
      <c r="AC34" s="47">
        <f>MAX(AA34,AB34)</f>
        <v/>
      </c>
      <c r="AD34" s="47" t="inlineStr">
        <is>
          <t>LTCR</t>
        </is>
      </c>
      <c r="AE34" s="43">
        <f>(Y34-T34)/AC34</f>
        <v/>
      </c>
      <c r="AF34" s="53" t="n">
        <v>42705</v>
      </c>
      <c r="AG34" s="49" t="n">
        <v>1.74948665297741</v>
      </c>
      <c r="AH34" s="1" t="n"/>
    </row>
    <row r="35" ht="48" customHeight="1" s="101">
      <c r="A35" s="120" t="n"/>
      <c r="B35" s="120" t="n"/>
      <c r="C35" s="120" t="n"/>
      <c r="D35" s="120" t="n"/>
      <c r="E35" s="40" t="inlineStr">
        <is>
          <t>East Head</t>
        </is>
      </c>
      <c r="F35" s="40" t="inlineStr">
        <is>
          <t>R134a &amp; Lubricating Oil</t>
        </is>
      </c>
      <c r="G35" s="40" t="inlineStr">
        <is>
          <t>Liquid</t>
        </is>
      </c>
      <c r="H35" s="120" t="n"/>
      <c r="I35" s="40" t="inlineStr">
        <is>
          <t>Carbon Steel</t>
        </is>
      </c>
      <c r="J35" s="40" t="inlineStr">
        <is>
          <t>SA-516M</t>
        </is>
      </c>
      <c r="K35" s="40" t="inlineStr">
        <is>
          <t>Grade: 485</t>
        </is>
      </c>
      <c r="L35" s="40" t="inlineStr">
        <is>
          <t xml:space="preserve"> -</t>
        </is>
      </c>
      <c r="M35" s="40" t="n">
        <v>125</v>
      </c>
      <c r="N35" s="68" t="n">
        <v>21</v>
      </c>
      <c r="O35" s="40" t="n">
        <v>60</v>
      </c>
      <c r="P35" s="43" t="n">
        <v>9</v>
      </c>
      <c r="Q35" s="43" t="n">
        <v>770</v>
      </c>
      <c r="R35" s="41" t="n">
        <v>10</v>
      </c>
      <c r="S35" s="41" t="n">
        <v>10</v>
      </c>
      <c r="T35" s="41" t="n">
        <v>8.17</v>
      </c>
      <c r="U35" s="41" t="n">
        <v>10.31</v>
      </c>
      <c r="V35" s="44" t="n">
        <v>43344</v>
      </c>
      <c r="W35" s="41" t="n">
        <v>10.18</v>
      </c>
      <c r="X35" s="45" t="n">
        <v>44013</v>
      </c>
      <c r="Y35" s="41" t="n">
        <v>10.2</v>
      </c>
      <c r="Z35" s="45" t="n">
        <v>44378</v>
      </c>
      <c r="AA35" s="46">
        <f>IF(((W35-Y35)/1)&gt;0,(W35-Y35)/1,0.035)</f>
        <v/>
      </c>
      <c r="AB35" s="46">
        <f>IF(((U35-Y35)/2.83)&gt;0,(U35-Y35)/2.83,0.035)</f>
        <v/>
      </c>
      <c r="AC35" s="47">
        <f>MAX(AA35,AB35)</f>
        <v/>
      </c>
      <c r="AD35" s="47" t="inlineStr">
        <is>
          <t>LTCR</t>
        </is>
      </c>
      <c r="AE35" s="43">
        <f>(Y35-T35)/AC35</f>
        <v/>
      </c>
      <c r="AF35" s="53" t="n">
        <v>42705</v>
      </c>
      <c r="AG35" s="49" t="n">
        <v>1.74948665297741</v>
      </c>
      <c r="AH35" s="1" t="n"/>
    </row>
    <row r="36" ht="48" customHeight="1" s="101">
      <c r="A36" s="119" t="n"/>
      <c r="B36" s="119" t="n"/>
      <c r="C36" s="119" t="n"/>
      <c r="D36" s="119" t="n"/>
      <c r="E36" s="40" t="inlineStr">
        <is>
          <t>West Head</t>
        </is>
      </c>
      <c r="F36" s="40" t="inlineStr">
        <is>
          <t>R134a &amp; Lubricating Oil</t>
        </is>
      </c>
      <c r="G36" s="41" t="inlineStr">
        <is>
          <t>Liquid</t>
        </is>
      </c>
      <c r="H36" s="119" t="n"/>
      <c r="I36" s="40" t="inlineStr">
        <is>
          <t>Carbon Steel</t>
        </is>
      </c>
      <c r="J36" s="40" t="inlineStr">
        <is>
          <t>SA-516M</t>
        </is>
      </c>
      <c r="K36" s="40" t="inlineStr">
        <is>
          <t>Grade: 485</t>
        </is>
      </c>
      <c r="L36" s="40" t="inlineStr">
        <is>
          <t xml:space="preserve"> -</t>
        </is>
      </c>
      <c r="M36" s="41" t="n">
        <v>125</v>
      </c>
      <c r="N36" s="43" t="n">
        <v>21</v>
      </c>
      <c r="O36" s="41" t="n">
        <v>60</v>
      </c>
      <c r="P36" s="43" t="n">
        <v>9</v>
      </c>
      <c r="Q36" s="43" t="n">
        <v>770</v>
      </c>
      <c r="R36" s="41" t="n">
        <v>10</v>
      </c>
      <c r="S36" s="41" t="n">
        <v>10</v>
      </c>
      <c r="T36" s="41" t="n">
        <v>8.17</v>
      </c>
      <c r="U36" s="41" t="n">
        <v>10.21</v>
      </c>
      <c r="V36" s="44" t="n">
        <v>43344</v>
      </c>
      <c r="W36" s="41" t="n">
        <v>10.18</v>
      </c>
      <c r="X36" s="45" t="n">
        <v>44013</v>
      </c>
      <c r="Y36" s="69" t="n">
        <v>10</v>
      </c>
      <c r="Z36" s="45" t="n">
        <v>44378</v>
      </c>
      <c r="AA36" s="46">
        <f>IF(((W36-Y36)/1)&gt;0,(W36-Y36)/1,0.035)</f>
        <v/>
      </c>
      <c r="AB36" s="46">
        <f>IF(((U36-Y36)/2.83)&gt;0,(U36-Y36)/2.83,0.035)</f>
        <v/>
      </c>
      <c r="AC36" s="47">
        <f>MAX(AA36,AB36)</f>
        <v/>
      </c>
      <c r="AD36" s="47" t="inlineStr">
        <is>
          <t>STCR</t>
        </is>
      </c>
      <c r="AE36" s="43">
        <f>(Y36-T36)/AC36</f>
        <v/>
      </c>
      <c r="AF36" s="53" t="n">
        <v>42705</v>
      </c>
      <c r="AG36" s="49" t="n">
        <v>1.74948665297741</v>
      </c>
      <c r="AH36" s="1" t="n"/>
    </row>
    <row r="37" ht="48" customHeight="1" s="101">
      <c r="A37" s="54" t="n">
        <v>15</v>
      </c>
      <c r="B37" s="55" t="inlineStr">
        <is>
          <t>D-481B</t>
        </is>
      </c>
      <c r="C37" s="55" t="inlineStr">
        <is>
          <t>JH PMT 31050</t>
        </is>
      </c>
      <c r="D37" s="122" t="inlineStr">
        <is>
          <t>Oil Separator</t>
        </is>
      </c>
      <c r="E37" s="40" t="inlineStr">
        <is>
          <t>Shell</t>
        </is>
      </c>
      <c r="F37" s="40" t="inlineStr">
        <is>
          <t>R134a &amp; Lubricating Oil</t>
        </is>
      </c>
      <c r="G37" s="41" t="inlineStr">
        <is>
          <t>Liquid</t>
        </is>
      </c>
      <c r="H37" s="40" t="inlineStr">
        <is>
          <t>ASME Section VIII Div. 1 2015 ED + ASME CODE CASE 1518-5</t>
        </is>
      </c>
      <c r="I37" s="40" t="inlineStr">
        <is>
          <t>Carbon Steel</t>
        </is>
      </c>
      <c r="J37" s="40" t="inlineStr">
        <is>
          <t>SA-516M</t>
        </is>
      </c>
      <c r="K37" s="40" t="inlineStr">
        <is>
          <t>Grade: 485</t>
        </is>
      </c>
      <c r="L37" s="40" t="inlineStr">
        <is>
          <t xml:space="preserve"> -</t>
        </is>
      </c>
      <c r="M37" s="41" t="n">
        <v>125</v>
      </c>
      <c r="N37" s="43" t="n">
        <v>21</v>
      </c>
      <c r="O37" s="41" t="n">
        <v>60</v>
      </c>
      <c r="P37" s="43" t="n">
        <v>9</v>
      </c>
      <c r="Q37" s="43" t="n">
        <v>770</v>
      </c>
      <c r="R37" s="41" t="n">
        <v>10</v>
      </c>
      <c r="S37" s="41" t="n">
        <v>10</v>
      </c>
      <c r="T37" s="41" t="n">
        <v>8.26</v>
      </c>
      <c r="U37" s="41" t="n">
        <v>10.41</v>
      </c>
      <c r="V37" s="44" t="n">
        <v>43344</v>
      </c>
      <c r="W37" s="41" t="n">
        <v>9.93</v>
      </c>
      <c r="X37" s="45" t="n">
        <v>44013</v>
      </c>
      <c r="Y37" s="69" t="n">
        <v>9.92</v>
      </c>
      <c r="Z37" s="45" t="n">
        <v>44378</v>
      </c>
      <c r="AA37" s="46">
        <f>IF(((W37-Y37)/1)&gt;0,(W37-Y37)/1,0.035)</f>
        <v/>
      </c>
      <c r="AB37" s="46">
        <f>IF(((U37-Y37)/2.83)&gt;0,(U37-Y37)/2.83,0.035)</f>
        <v/>
      </c>
      <c r="AC37" s="47">
        <f>MAX(AA37,AB37)</f>
        <v/>
      </c>
      <c r="AD37" s="47" t="inlineStr">
        <is>
          <t>LTCR</t>
        </is>
      </c>
      <c r="AE37" s="43">
        <f>(Y37-T37)/AC37</f>
        <v/>
      </c>
      <c r="AF37" s="53" t="n">
        <v>42705</v>
      </c>
      <c r="AG37" s="49" t="n">
        <v>1.74948665297741</v>
      </c>
      <c r="AH37" s="1" t="n"/>
    </row>
    <row r="38" ht="48" customHeight="1" s="101">
      <c r="A38" s="120" t="n"/>
      <c r="B38" s="120" t="n"/>
      <c r="C38" s="120" t="n"/>
      <c r="D38" s="120" t="n"/>
      <c r="E38" s="40" t="inlineStr">
        <is>
          <t>East Head</t>
        </is>
      </c>
      <c r="F38" s="40" t="inlineStr">
        <is>
          <t>R134a &amp; Lubricating Oil</t>
        </is>
      </c>
      <c r="G38" s="41" t="inlineStr">
        <is>
          <t>Liquid</t>
        </is>
      </c>
      <c r="H38" s="120" t="n"/>
      <c r="I38" s="40" t="inlineStr">
        <is>
          <t>Carbon Steel</t>
        </is>
      </c>
      <c r="J38" s="40" t="inlineStr">
        <is>
          <t>SA-516M</t>
        </is>
      </c>
      <c r="K38" s="40" t="inlineStr">
        <is>
          <t>Grade: 485</t>
        </is>
      </c>
      <c r="L38" s="40" t="inlineStr">
        <is>
          <t xml:space="preserve"> -</t>
        </is>
      </c>
      <c r="M38" s="41" t="n">
        <v>125</v>
      </c>
      <c r="N38" s="43" t="n">
        <v>21</v>
      </c>
      <c r="O38" s="41" t="n">
        <v>60</v>
      </c>
      <c r="P38" s="43" t="n">
        <v>9</v>
      </c>
      <c r="Q38" s="43" t="n">
        <v>770</v>
      </c>
      <c r="R38" s="41" t="n">
        <v>10</v>
      </c>
      <c r="S38" s="41" t="n">
        <v>10</v>
      </c>
      <c r="T38" s="41" t="n">
        <v>8.17</v>
      </c>
      <c r="U38" s="41" t="n">
        <v>10.02</v>
      </c>
      <c r="V38" s="44" t="n">
        <v>43344</v>
      </c>
      <c r="W38" s="41" t="n">
        <v>9.74</v>
      </c>
      <c r="X38" s="45" t="n">
        <v>44013</v>
      </c>
      <c r="Y38" s="69" t="n">
        <v>9.970000000000001</v>
      </c>
      <c r="Z38" s="45" t="n">
        <v>44378</v>
      </c>
      <c r="AA38" s="46">
        <f>IF(((W38-Y38)/1)&gt;0,(W38-Y38)/1,0.035)</f>
        <v/>
      </c>
      <c r="AB38" s="46">
        <f>IF(((U38-Y38)/2.83)&gt;0,(U38-Y38)/2.83,0.035)</f>
        <v/>
      </c>
      <c r="AC38" s="47">
        <f>MAX(AA38,AB38)</f>
        <v/>
      </c>
      <c r="AD38" s="47" t="inlineStr">
        <is>
          <t>ER</t>
        </is>
      </c>
      <c r="AE38" s="43">
        <f>(Y38-T38)/AC38</f>
        <v/>
      </c>
      <c r="AF38" s="53" t="n">
        <v>42705</v>
      </c>
      <c r="AG38" s="49" t="n">
        <v>1.74948665297741</v>
      </c>
      <c r="AH38" s="1" t="n"/>
    </row>
    <row r="39" ht="48" customHeight="1" s="101">
      <c r="A39" s="119" t="n"/>
      <c r="B39" s="119" t="n"/>
      <c r="C39" s="119" t="n"/>
      <c r="D39" s="119" t="n"/>
      <c r="E39" s="40" t="inlineStr">
        <is>
          <t>West Head</t>
        </is>
      </c>
      <c r="F39" s="40" t="inlineStr">
        <is>
          <t>R134a &amp; Lubricating Oil</t>
        </is>
      </c>
      <c r="G39" s="41" t="inlineStr">
        <is>
          <t>Liquid</t>
        </is>
      </c>
      <c r="H39" s="119" t="n"/>
      <c r="I39" s="40" t="inlineStr">
        <is>
          <t>Carbon Steel</t>
        </is>
      </c>
      <c r="J39" s="40" t="inlineStr">
        <is>
          <t>SA-516M</t>
        </is>
      </c>
      <c r="K39" s="40" t="inlineStr">
        <is>
          <t>Grade: 485</t>
        </is>
      </c>
      <c r="L39" s="40" t="inlineStr">
        <is>
          <t xml:space="preserve"> -</t>
        </is>
      </c>
      <c r="M39" s="41" t="n">
        <v>125</v>
      </c>
      <c r="N39" s="43" t="n">
        <v>21</v>
      </c>
      <c r="O39" s="41" t="n">
        <v>60</v>
      </c>
      <c r="P39" s="43" t="n">
        <v>9</v>
      </c>
      <c r="Q39" s="43" t="n">
        <v>770</v>
      </c>
      <c r="R39" s="41" t="n">
        <v>10</v>
      </c>
      <c r="S39" s="41" t="n">
        <v>10</v>
      </c>
      <c r="T39" s="41" t="n">
        <v>8.17</v>
      </c>
      <c r="U39" s="41" t="n">
        <v>10.21</v>
      </c>
      <c r="V39" s="44" t="n">
        <v>43344</v>
      </c>
      <c r="W39" s="41" t="n">
        <v>9.93</v>
      </c>
      <c r="X39" s="45" t="n">
        <v>44013</v>
      </c>
      <c r="Y39" s="69" t="n">
        <v>9.970000000000001</v>
      </c>
      <c r="Z39" s="45" t="n">
        <v>44378</v>
      </c>
      <c r="AA39" s="46">
        <f>IF(((W39-Y39)/1)&gt;0,(W39-Y39)/1,0.035)</f>
        <v/>
      </c>
      <c r="AB39" s="46">
        <f>IF(((U39-Y39)/2.83)&gt;0,(U39-Y39)/2.83,0.035)</f>
        <v/>
      </c>
      <c r="AC39" s="47">
        <f>MAX(AA39,AB39)</f>
        <v/>
      </c>
      <c r="AD39" s="47" t="inlineStr">
        <is>
          <t>LTCR</t>
        </is>
      </c>
      <c r="AE39" s="43">
        <f>(Y39-T39)/AC39</f>
        <v/>
      </c>
      <c r="AF39" s="53" t="n">
        <v>42705</v>
      </c>
      <c r="AG39" s="49" t="n">
        <v>1.74948665297741</v>
      </c>
      <c r="AH39" s="1" t="n"/>
    </row>
    <row r="40" ht="48" customHeight="1" s="101">
      <c r="A40" s="54" t="n">
        <v>16</v>
      </c>
      <c r="B40" s="55" t="inlineStr">
        <is>
          <t>F-430</t>
        </is>
      </c>
      <c r="C40" s="55" t="inlineStr">
        <is>
          <t>JH PMT 30630</t>
        </is>
      </c>
      <c r="D40" s="122" t="inlineStr">
        <is>
          <t>Dry Cl2 Gas Mist Eliminator</t>
        </is>
      </c>
      <c r="E40" s="40" t="inlineStr">
        <is>
          <t>Shell</t>
        </is>
      </c>
      <c r="F40" s="40" t="inlineStr">
        <is>
          <t>Dry Chlorine Gas/ 
H2SO4 Acid</t>
        </is>
      </c>
      <c r="G40" s="41" t="inlineStr">
        <is>
          <t>Gas</t>
        </is>
      </c>
      <c r="H40" s="40" t="inlineStr">
        <is>
          <t>ASME Section VIII Div. 1 2015 ED</t>
        </is>
      </c>
      <c r="I40" s="40" t="inlineStr">
        <is>
          <t>Carbon Steel</t>
        </is>
      </c>
      <c r="J40" s="40" t="inlineStr">
        <is>
          <t>SA-516M</t>
        </is>
      </c>
      <c r="K40" s="40" t="inlineStr">
        <is>
          <t>Grade: 485</t>
        </is>
      </c>
      <c r="L40" s="40" t="inlineStr">
        <is>
          <t xml:space="preserve"> -</t>
        </is>
      </c>
      <c r="M40" s="41" t="n">
        <v>60</v>
      </c>
      <c r="N40" s="43" t="n">
        <v>5.15</v>
      </c>
      <c r="O40" s="41" t="n">
        <v>40</v>
      </c>
      <c r="P40" s="43" t="n">
        <v>3.43</v>
      </c>
      <c r="Q40" s="43" t="n">
        <v>752.7</v>
      </c>
      <c r="R40" s="41" t="n">
        <v>6.35</v>
      </c>
      <c r="S40" s="41" t="n">
        <v>6.35</v>
      </c>
      <c r="T40" s="41" t="n">
        <v>1.63</v>
      </c>
      <c r="U40" s="41" t="n">
        <v>7.01</v>
      </c>
      <c r="V40" s="44" t="n">
        <v>43344</v>
      </c>
      <c r="W40" s="47" t="n">
        <v>6.12</v>
      </c>
      <c r="X40" s="45" t="n">
        <v>44013</v>
      </c>
      <c r="Y40" s="41" t="n">
        <v>6.12</v>
      </c>
      <c r="Z40" s="45" t="n">
        <v>44378</v>
      </c>
      <c r="AA40" s="46">
        <f>IF(((W40-Y40)/1)&gt;0,(W40-Y40)/1,0.035)</f>
        <v/>
      </c>
      <c r="AB40" s="46">
        <f>IF(((U40-Y40)/2.83)&gt;0,(U40-Y40)/2.83,0.035)</f>
        <v/>
      </c>
      <c r="AC40" s="47">
        <f>MAX(AA40,AB40)</f>
        <v/>
      </c>
      <c r="AD40" s="47" t="inlineStr">
        <is>
          <t>LTCR</t>
        </is>
      </c>
      <c r="AE40" s="43">
        <f>(Y40-T40)/AC40</f>
        <v/>
      </c>
      <c r="AF40" s="53" t="n">
        <v>42705</v>
      </c>
      <c r="AG40" s="49" t="n">
        <v>1.74948665297741</v>
      </c>
      <c r="AH40" s="1" t="n"/>
    </row>
    <row r="41" ht="48" customHeight="1" s="101">
      <c r="A41" s="119" t="n"/>
      <c r="B41" s="119" t="n"/>
      <c r="C41" s="119" t="n"/>
      <c r="D41" s="119" t="n"/>
      <c r="E41" s="40" t="inlineStr">
        <is>
          <t>Bottom Head</t>
        </is>
      </c>
      <c r="F41" s="40" t="inlineStr">
        <is>
          <t>Dry Chlorine Gas/ 
H2SO4 Acid</t>
        </is>
      </c>
      <c r="G41" s="41" t="inlineStr">
        <is>
          <t>Gas</t>
        </is>
      </c>
      <c r="H41" s="119" t="n"/>
      <c r="I41" s="40" t="inlineStr">
        <is>
          <t>Carbon Steel</t>
        </is>
      </c>
      <c r="J41" s="40" t="inlineStr">
        <is>
          <t>SA-516M</t>
        </is>
      </c>
      <c r="K41" s="40" t="inlineStr">
        <is>
          <t>Grade: 485</t>
        </is>
      </c>
      <c r="L41" s="40" t="inlineStr">
        <is>
          <t xml:space="preserve"> -</t>
        </is>
      </c>
      <c r="M41" s="41" t="n">
        <v>60</v>
      </c>
      <c r="N41" s="43" t="n">
        <v>5.15</v>
      </c>
      <c r="O41" s="41" t="n">
        <v>40</v>
      </c>
      <c r="P41" s="43" t="n">
        <v>3.43</v>
      </c>
      <c r="Q41" s="43" t="n">
        <v>752.7</v>
      </c>
      <c r="R41" s="41" t="n">
        <v>6.35</v>
      </c>
      <c r="S41" s="41" t="n">
        <v>6.35</v>
      </c>
      <c r="T41" s="41" t="n">
        <v>1.5</v>
      </c>
      <c r="U41" s="41" t="n">
        <v>6.58</v>
      </c>
      <c r="V41" s="44" t="n">
        <v>43344</v>
      </c>
      <c r="W41" s="41" t="n">
        <v>6.28</v>
      </c>
      <c r="X41" s="45" t="n">
        <v>44013</v>
      </c>
      <c r="Y41" s="41" t="n">
        <v>6.15</v>
      </c>
      <c r="Z41" s="45" t="n">
        <v>44378</v>
      </c>
      <c r="AA41" s="46">
        <f>IF(((W41-Y41)/1)&gt;0,(W41-Y41)/1,0.035)</f>
        <v/>
      </c>
      <c r="AB41" s="46">
        <f>IF(((U41-Y41)/2.83)&gt;0,(U41-Y41)/2.83,0.035)</f>
        <v/>
      </c>
      <c r="AC41" s="47">
        <f>MAX(AA41,AB41)</f>
        <v/>
      </c>
      <c r="AD41" s="47" t="inlineStr">
        <is>
          <t>LTCR</t>
        </is>
      </c>
      <c r="AE41" s="43">
        <f>(Y41-T41)/AC41</f>
        <v/>
      </c>
      <c r="AF41" s="53" t="n">
        <v>42705</v>
      </c>
      <c r="AG41" s="49" t="n">
        <v>1.74948665297741</v>
      </c>
      <c r="AH41" s="1" t="n"/>
    </row>
    <row r="42" ht="48" customHeight="1" s="101">
      <c r="A42" s="54" t="n">
        <v>17</v>
      </c>
      <c r="B42" s="55" t="inlineStr">
        <is>
          <t>D-461</t>
        </is>
      </c>
      <c r="C42" s="123" t="inlineStr">
        <is>
          <t>JH PMT 30631</t>
        </is>
      </c>
      <c r="D42" s="122" t="inlineStr">
        <is>
          <t>Liquid Cl2 Catch Pot</t>
        </is>
      </c>
      <c r="E42" s="40" t="inlineStr">
        <is>
          <t>Shell</t>
        </is>
      </c>
      <c r="F42" s="40" t="inlineStr">
        <is>
          <t>Sniff Chlorine Gas</t>
        </is>
      </c>
      <c r="G42" s="41" t="inlineStr">
        <is>
          <t>Gas</t>
        </is>
      </c>
      <c r="H42" s="40" t="inlineStr">
        <is>
          <t>ASME Section VIII Div. 1 2015 ED</t>
        </is>
      </c>
      <c r="I42" s="40" t="inlineStr">
        <is>
          <t>Carbon Steel</t>
        </is>
      </c>
      <c r="J42" s="40" t="inlineStr">
        <is>
          <t>SA-516M</t>
        </is>
      </c>
      <c r="K42" s="40" t="inlineStr">
        <is>
          <t>Grade: 485N</t>
        </is>
      </c>
      <c r="L42" s="40" t="inlineStr">
        <is>
          <t xml:space="preserve"> -</t>
        </is>
      </c>
      <c r="M42" s="41" t="n">
        <v>-15</v>
      </c>
      <c r="N42" s="43" t="n">
        <v>15.7</v>
      </c>
      <c r="O42" s="41" t="n">
        <v>-5</v>
      </c>
      <c r="P42" s="43" t="n">
        <v>3.5</v>
      </c>
      <c r="Q42" s="43" t="n">
        <v>510</v>
      </c>
      <c r="R42" s="41" t="n">
        <v>9.529999999999999</v>
      </c>
      <c r="S42" s="41" t="n">
        <v>9.529999999999999</v>
      </c>
      <c r="T42" s="41" t="n">
        <v>2.81</v>
      </c>
      <c r="U42" s="41" t="n">
        <v>9.470000000000001</v>
      </c>
      <c r="V42" s="44" t="n">
        <v>43344</v>
      </c>
      <c r="W42" s="41" t="n">
        <v>9.380000000000001</v>
      </c>
      <c r="X42" s="45" t="n">
        <v>44013</v>
      </c>
      <c r="Y42" s="41" t="n">
        <v>9.369999999999999</v>
      </c>
      <c r="Z42" s="45" t="n">
        <v>44378</v>
      </c>
      <c r="AA42" s="46">
        <f>IF(((W42-Y42)/1)&gt;0,(W42-Y42)/1,0.035)</f>
        <v/>
      </c>
      <c r="AB42" s="46">
        <f>IF(((U42-Y42)/2.83)&gt;0,(U42-Y42)/2.83,0.035)</f>
        <v/>
      </c>
      <c r="AC42" s="47">
        <f>MAX(AA42,AB42)</f>
        <v/>
      </c>
      <c r="AD42" s="47" t="inlineStr">
        <is>
          <t>ER</t>
        </is>
      </c>
      <c r="AE42" s="43">
        <f>(Y42-T42)/AC42</f>
        <v/>
      </c>
      <c r="AF42" s="53" t="n">
        <v>42705</v>
      </c>
      <c r="AG42" s="49" t="n">
        <v>1.74948665297741</v>
      </c>
      <c r="AH42" s="1" t="n"/>
    </row>
    <row r="43" ht="48" customHeight="1" s="101">
      <c r="A43" s="120" t="n"/>
      <c r="B43" s="120" t="n"/>
      <c r="C43" s="120" t="n"/>
      <c r="D43" s="120" t="n"/>
      <c r="E43" s="40" t="inlineStr">
        <is>
          <t>Top Head</t>
        </is>
      </c>
      <c r="F43" s="40" t="inlineStr">
        <is>
          <t>Sniff Chlorine Gas</t>
        </is>
      </c>
      <c r="G43" s="41" t="inlineStr">
        <is>
          <t>Gas</t>
        </is>
      </c>
      <c r="H43" s="120" t="n"/>
      <c r="I43" s="40" t="inlineStr">
        <is>
          <t>Carbon Steel</t>
        </is>
      </c>
      <c r="J43" s="40" t="inlineStr">
        <is>
          <t>SA-516M</t>
        </is>
      </c>
      <c r="K43" s="40" t="inlineStr">
        <is>
          <t>Grade: 485N</t>
        </is>
      </c>
      <c r="L43" s="40" t="inlineStr">
        <is>
          <t xml:space="preserve"> -</t>
        </is>
      </c>
      <c r="M43" s="41" t="n">
        <v>-15</v>
      </c>
      <c r="N43" s="43" t="n">
        <v>15.7</v>
      </c>
      <c r="O43" s="41" t="n">
        <v>-5</v>
      </c>
      <c r="P43" s="43" t="n">
        <v>3.5</v>
      </c>
      <c r="Q43" s="43" t="n">
        <v>510</v>
      </c>
      <c r="R43" s="41" t="n">
        <v>9.529999999999999</v>
      </c>
      <c r="S43" s="41" t="n">
        <v>9.529999999999999</v>
      </c>
      <c r="T43" s="41" t="n">
        <v>2.8</v>
      </c>
      <c r="U43" s="41" t="n">
        <v>9.4</v>
      </c>
      <c r="V43" s="44" t="n">
        <v>43344</v>
      </c>
      <c r="W43" s="41" t="n">
        <v>9.109999999999999</v>
      </c>
      <c r="X43" s="45" t="n">
        <v>44013</v>
      </c>
      <c r="Y43" s="41" t="n">
        <v>8.92</v>
      </c>
      <c r="Z43" s="45" t="n">
        <v>44378</v>
      </c>
      <c r="AA43" s="46">
        <f>IF(((W43-Y43)/1)&gt;0,(W43-Y43)/1,0.035)</f>
        <v/>
      </c>
      <c r="AB43" s="46">
        <f>IF(((U43-Y43)/2.83)&gt;0,(U43-Y43)/2.83,0.035)</f>
        <v/>
      </c>
      <c r="AC43" s="47">
        <f>MAX(AA43,AB43)</f>
        <v/>
      </c>
      <c r="AD43" s="47" t="inlineStr">
        <is>
          <t>LTCR</t>
        </is>
      </c>
      <c r="AE43" s="43">
        <f>(Y43-T43)/AC43</f>
        <v/>
      </c>
      <c r="AF43" s="53" t="n">
        <v>42705</v>
      </c>
      <c r="AG43" s="49" t="n">
        <v>1.74948665297741</v>
      </c>
      <c r="AH43" s="1" t="n"/>
    </row>
    <row r="44" ht="48" customHeight="1" s="101">
      <c r="A44" s="119" t="n"/>
      <c r="B44" s="119" t="n"/>
      <c r="C44" s="119" t="n"/>
      <c r="D44" s="119" t="n"/>
      <c r="E44" s="40" t="inlineStr">
        <is>
          <t>Bottom Head</t>
        </is>
      </c>
      <c r="F44" s="40" t="inlineStr">
        <is>
          <t>Sniff Chlorine Gas</t>
        </is>
      </c>
      <c r="G44" s="41" t="inlineStr">
        <is>
          <t>Gas</t>
        </is>
      </c>
      <c r="H44" s="119" t="n"/>
      <c r="I44" s="40" t="inlineStr">
        <is>
          <t>Carbon Steel</t>
        </is>
      </c>
      <c r="J44" s="40" t="inlineStr">
        <is>
          <t>SA-516M</t>
        </is>
      </c>
      <c r="K44" s="40" t="inlineStr">
        <is>
          <t>Grade: 485N</t>
        </is>
      </c>
      <c r="L44" s="40" t="inlineStr">
        <is>
          <t xml:space="preserve"> -</t>
        </is>
      </c>
      <c r="M44" s="41" t="n">
        <v>-15</v>
      </c>
      <c r="N44" s="43" t="n">
        <v>15.7</v>
      </c>
      <c r="O44" s="41" t="n">
        <v>-5</v>
      </c>
      <c r="P44" s="43" t="n">
        <v>3.5</v>
      </c>
      <c r="Q44" s="43" t="n">
        <v>510</v>
      </c>
      <c r="R44" s="41" t="n">
        <v>9.529999999999999</v>
      </c>
      <c r="S44" s="41" t="n">
        <v>9.529999999999999</v>
      </c>
      <c r="T44" s="41" t="n">
        <v>2.8</v>
      </c>
      <c r="U44" s="41" t="n">
        <v>9.65</v>
      </c>
      <c r="V44" s="44" t="n">
        <v>43344</v>
      </c>
      <c r="W44" s="41" t="n">
        <v>9.140000000000001</v>
      </c>
      <c r="X44" s="45" t="n">
        <v>44013</v>
      </c>
      <c r="Y44" s="41" t="n">
        <v>9.15</v>
      </c>
      <c r="Z44" s="45" t="n">
        <v>44378</v>
      </c>
      <c r="AA44" s="46">
        <f>IF(((W44-Y44)/1)&gt;0,(W44-Y44)/1,0.035)</f>
        <v/>
      </c>
      <c r="AB44" s="46">
        <f>IF(((U44-Y44)/2.83)&gt;0,(U44-Y44)/2.83,0.035)</f>
        <v/>
      </c>
      <c r="AC44" s="47">
        <f>MAX(AA44,AB44)</f>
        <v/>
      </c>
      <c r="AD44" s="47" t="inlineStr">
        <is>
          <t>LTCR</t>
        </is>
      </c>
      <c r="AE44" s="43">
        <f>(Y44-T44)/AC44</f>
        <v/>
      </c>
      <c r="AF44" s="53" t="n">
        <v>42705</v>
      </c>
      <c r="AG44" s="49" t="n">
        <v>1.74948665297741</v>
      </c>
      <c r="AH44" s="1" t="n"/>
    </row>
    <row r="45" ht="48" customHeight="1" s="101">
      <c r="A45" s="54" t="n">
        <v>18</v>
      </c>
      <c r="B45" s="55" t="inlineStr">
        <is>
          <t>D-462</t>
        </is>
      </c>
      <c r="C45" s="55" t="inlineStr">
        <is>
          <t>JH PMT 30737</t>
        </is>
      </c>
      <c r="D45" s="122" t="inlineStr">
        <is>
          <t>Chlorine Separator Drum</t>
        </is>
      </c>
      <c r="E45" s="40" t="inlineStr">
        <is>
          <t>Shell</t>
        </is>
      </c>
      <c r="F45" s="40" t="inlineStr">
        <is>
          <t>Dry Chlorine</t>
        </is>
      </c>
      <c r="G45" s="41" t="inlineStr">
        <is>
          <t>Liquid</t>
        </is>
      </c>
      <c r="H45" s="40" t="inlineStr">
        <is>
          <t>ASME Section VIII Div. 1 2015 ED</t>
        </is>
      </c>
      <c r="I45" s="40" t="inlineStr">
        <is>
          <t>Carbon Steel</t>
        </is>
      </c>
      <c r="J45" s="40" t="inlineStr">
        <is>
          <t>SA-516M</t>
        </is>
      </c>
      <c r="K45" s="40" t="inlineStr">
        <is>
          <t>Grade: 485N</t>
        </is>
      </c>
      <c r="L45" s="40" t="inlineStr">
        <is>
          <t xml:space="preserve"> -</t>
        </is>
      </c>
      <c r="M45" s="41" t="n">
        <v>-15</v>
      </c>
      <c r="N45" s="43" t="n">
        <v>15.7</v>
      </c>
      <c r="O45" s="41" t="n">
        <v>-5</v>
      </c>
      <c r="P45" s="43" t="n">
        <v>3.5</v>
      </c>
      <c r="Q45" s="43" t="n">
        <v>510</v>
      </c>
      <c r="R45" s="41" t="n">
        <v>9.529999999999999</v>
      </c>
      <c r="S45" s="41" t="n">
        <v>9.529999999999999</v>
      </c>
      <c r="T45" s="41" t="n">
        <v>2.81</v>
      </c>
      <c r="U45" s="41" t="n">
        <v>10.02</v>
      </c>
      <c r="V45" s="44" t="n">
        <v>43344</v>
      </c>
      <c r="W45" s="41" t="n">
        <v>9.48</v>
      </c>
      <c r="X45" s="45" t="n">
        <v>44013</v>
      </c>
      <c r="Y45" s="41" t="n">
        <v>9.51</v>
      </c>
      <c r="Z45" s="45" t="n">
        <v>44378</v>
      </c>
      <c r="AA45" s="46">
        <f>IF(((W45-Y45)/1)&gt;0,(W45-Y45)/1,0.035)</f>
        <v/>
      </c>
      <c r="AB45" s="47">
        <f>(U45-Y45)/((Z45-V45)/365.25)</f>
        <v/>
      </c>
      <c r="AC45" s="47">
        <f>MAX(AA45,AB45)</f>
        <v/>
      </c>
      <c r="AD45" s="47" t="inlineStr">
        <is>
          <t>LTCR</t>
        </is>
      </c>
      <c r="AE45" s="43">
        <f>(Y45-T45)/AC45</f>
        <v/>
      </c>
      <c r="AF45" s="53" t="n">
        <v>42705</v>
      </c>
      <c r="AG45" s="49" t="n">
        <v>1.74948665297741</v>
      </c>
      <c r="AH45" s="1" t="n"/>
    </row>
    <row r="46" ht="48" customHeight="1" s="101">
      <c r="A46" s="120" t="n"/>
      <c r="B46" s="120" t="n"/>
      <c r="C46" s="120" t="n"/>
      <c r="D46" s="120" t="n"/>
      <c r="E46" s="40" t="inlineStr">
        <is>
          <t>Top Head</t>
        </is>
      </c>
      <c r="F46" s="40" t="inlineStr">
        <is>
          <t>Dry Chlorine</t>
        </is>
      </c>
      <c r="G46" s="41" t="inlineStr">
        <is>
          <t>Liquid</t>
        </is>
      </c>
      <c r="H46" s="120" t="n"/>
      <c r="I46" s="40" t="inlineStr">
        <is>
          <t>Carbon Steel</t>
        </is>
      </c>
      <c r="J46" s="40" t="inlineStr">
        <is>
          <t>SA-516M</t>
        </is>
      </c>
      <c r="K46" s="40" t="inlineStr">
        <is>
          <t>Grade: 485N</t>
        </is>
      </c>
      <c r="L46" s="40" t="inlineStr">
        <is>
          <t xml:space="preserve"> -</t>
        </is>
      </c>
      <c r="M46" s="41" t="n">
        <v>-15</v>
      </c>
      <c r="N46" s="43" t="n">
        <v>15.7</v>
      </c>
      <c r="O46" s="41" t="n">
        <v>-5</v>
      </c>
      <c r="P46" s="43" t="n">
        <v>3.5</v>
      </c>
      <c r="Q46" s="43" t="n">
        <v>510</v>
      </c>
      <c r="R46" s="41" t="n">
        <v>9.529999999999999</v>
      </c>
      <c r="S46" s="41" t="n">
        <v>9.529999999999999</v>
      </c>
      <c r="T46" s="41" t="n">
        <v>2.8</v>
      </c>
      <c r="U46" s="41" t="n">
        <v>10.71</v>
      </c>
      <c r="V46" s="44" t="n">
        <v>43344</v>
      </c>
      <c r="W46" s="41" t="n">
        <v>9.619999999999999</v>
      </c>
      <c r="X46" s="45" t="n">
        <v>44013</v>
      </c>
      <c r="Y46" s="41" t="n">
        <v>9.41</v>
      </c>
      <c r="Z46" s="45" t="n">
        <v>44378</v>
      </c>
      <c r="AA46" s="47">
        <f>(W46-Y46)/((Z46-X46)/365.25)</f>
        <v/>
      </c>
      <c r="AB46" s="47">
        <f>(U46-Y46)/((Z46-V46)/365.25)</f>
        <v/>
      </c>
      <c r="AC46" s="47">
        <f>MAX(AA46,AB46)</f>
        <v/>
      </c>
      <c r="AD46" s="47" t="inlineStr">
        <is>
          <t>LTCR</t>
        </is>
      </c>
      <c r="AE46" s="43">
        <f>(Y46-T46)/AC46</f>
        <v/>
      </c>
      <c r="AF46" s="53" t="n">
        <v>42705</v>
      </c>
      <c r="AG46" s="49" t="n">
        <v>1.74948665297741</v>
      </c>
      <c r="AH46" s="1" t="n"/>
    </row>
    <row r="47" ht="48" customHeight="1" s="101">
      <c r="A47" s="119" t="n"/>
      <c r="B47" s="119" t="n"/>
      <c r="C47" s="119" t="n"/>
      <c r="D47" s="119" t="n"/>
      <c r="E47" s="40" t="inlineStr">
        <is>
          <t>Bottom Head</t>
        </is>
      </c>
      <c r="F47" s="40" t="inlineStr">
        <is>
          <t>Dry Chlorine</t>
        </is>
      </c>
      <c r="G47" s="41" t="inlineStr">
        <is>
          <t>Liquid</t>
        </is>
      </c>
      <c r="H47" s="119" t="n"/>
      <c r="I47" s="40" t="inlineStr">
        <is>
          <t>Carbon Steel</t>
        </is>
      </c>
      <c r="J47" s="40" t="inlineStr">
        <is>
          <t>SA-516M</t>
        </is>
      </c>
      <c r="K47" s="40" t="inlineStr">
        <is>
          <t>Grade: 485N</t>
        </is>
      </c>
      <c r="L47" s="40" t="inlineStr">
        <is>
          <t xml:space="preserve"> -</t>
        </is>
      </c>
      <c r="M47" s="41" t="n">
        <v>-15</v>
      </c>
      <c r="N47" s="43" t="n">
        <v>15.7</v>
      </c>
      <c r="O47" s="41" t="n">
        <v>-5</v>
      </c>
      <c r="P47" s="43" t="n">
        <v>3.5</v>
      </c>
      <c r="Q47" s="43" t="n">
        <v>510</v>
      </c>
      <c r="R47" s="41" t="n">
        <v>9.529999999999999</v>
      </c>
      <c r="S47" s="41" t="n">
        <v>9.529999999999999</v>
      </c>
      <c r="T47" s="41" t="n">
        <v>2.8</v>
      </c>
      <c r="U47" s="41" t="n">
        <v>10.01</v>
      </c>
      <c r="V47" s="44" t="n">
        <v>43344</v>
      </c>
      <c r="W47" s="41" t="n">
        <v>9.619999999999999</v>
      </c>
      <c r="X47" s="45" t="n">
        <v>44013</v>
      </c>
      <c r="Y47" s="41" t="n">
        <v>10.11</v>
      </c>
      <c r="Z47" s="45" t="n">
        <v>44378</v>
      </c>
      <c r="AA47" s="46">
        <f>IF(((W47-Y47)/1)&gt;0,(W47-Y47)/1,0.035)</f>
        <v/>
      </c>
      <c r="AB47" s="46">
        <f>IF(((U47-Y47)/2.83)&gt;0,(U47-Y47)/2.83,0.035)</f>
        <v/>
      </c>
      <c r="AC47" s="47">
        <f>MAX(AA47,AB47)</f>
        <v/>
      </c>
      <c r="AD47" s="47" t="inlineStr">
        <is>
          <t>ER</t>
        </is>
      </c>
      <c r="AE47" s="43">
        <f>(Y47-T47)/AC47</f>
        <v/>
      </c>
      <c r="AF47" s="53" t="n">
        <v>42705</v>
      </c>
      <c r="AG47" s="49" t="n">
        <v>1.74948665297741</v>
      </c>
      <c r="AH47" s="1" t="n"/>
    </row>
    <row r="48" ht="48" customHeight="1" s="101">
      <c r="A48" s="54" t="n">
        <v>19</v>
      </c>
      <c r="B48" s="55" t="inlineStr">
        <is>
          <t>D-440A</t>
        </is>
      </c>
      <c r="C48" s="55" t="inlineStr">
        <is>
          <t>JH PMT 31021</t>
        </is>
      </c>
      <c r="D48" s="122" t="inlineStr">
        <is>
          <t>Acid Separator</t>
        </is>
      </c>
      <c r="E48" s="40" t="inlineStr">
        <is>
          <t>Shell</t>
        </is>
      </c>
      <c r="F48" s="40" t="inlineStr">
        <is>
          <t>98% Sulphuric Acid 
with Dry Cl2 gas</t>
        </is>
      </c>
      <c r="G48" s="41" t="inlineStr">
        <is>
          <t>Gas</t>
        </is>
      </c>
      <c r="H48" s="40" t="inlineStr">
        <is>
          <t>ASME Section VIII Div. 1 2013 ED</t>
        </is>
      </c>
      <c r="I48" s="40" t="inlineStr">
        <is>
          <t>Carbon Steel</t>
        </is>
      </c>
      <c r="J48" s="40" t="inlineStr">
        <is>
          <t>SA-516M</t>
        </is>
      </c>
      <c r="K48" s="40" t="inlineStr">
        <is>
          <t>Grade: 485</t>
        </is>
      </c>
      <c r="L48" s="40" t="inlineStr">
        <is>
          <t xml:space="preserve"> -</t>
        </is>
      </c>
      <c r="M48" s="41" t="n">
        <v>100</v>
      </c>
      <c r="N48" s="43" t="n">
        <v>5.88</v>
      </c>
      <c r="O48" s="41" t="n">
        <v>45</v>
      </c>
      <c r="P48" s="43" t="n">
        <v>3.43</v>
      </c>
      <c r="Q48" s="43" t="n">
        <v>700</v>
      </c>
      <c r="R48" s="41" t="n">
        <v>10</v>
      </c>
      <c r="S48" s="41" t="n">
        <v>10</v>
      </c>
      <c r="T48" s="41" t="n">
        <v>1.5</v>
      </c>
      <c r="U48" s="41" t="n">
        <v>10.14</v>
      </c>
      <c r="V48" s="44" t="n">
        <v>43344</v>
      </c>
      <c r="W48" s="41" t="n">
        <v>10.16</v>
      </c>
      <c r="X48" s="45" t="n">
        <v>44013</v>
      </c>
      <c r="Y48" s="41" t="n">
        <v>10.17</v>
      </c>
      <c r="Z48" s="45" t="n">
        <v>44378</v>
      </c>
      <c r="AA48" s="46">
        <f>IF(((W48-Y48)/1)&gt;0,(W48-Y48)/1,0.035)</f>
        <v/>
      </c>
      <c r="AB48" s="46">
        <f>IF(((U48-Y48)/2.83)&gt;0,(U48-Y48)/2.83,0.035)</f>
        <v/>
      </c>
      <c r="AC48" s="47">
        <f>MAX(AA48,AB48)</f>
        <v/>
      </c>
      <c r="AD48" s="47" t="inlineStr">
        <is>
          <t>ER</t>
        </is>
      </c>
      <c r="AE48" s="43">
        <f>(Y48-T48)/AC48</f>
        <v/>
      </c>
      <c r="AF48" s="53" t="n">
        <v>42705</v>
      </c>
      <c r="AG48" s="49" t="n">
        <v>1.74948665297741</v>
      </c>
      <c r="AH48" s="1" t="n"/>
    </row>
    <row r="49" ht="48" customHeight="1" s="101">
      <c r="A49" s="120" t="n"/>
      <c r="B49" s="120" t="n"/>
      <c r="C49" s="120" t="n"/>
      <c r="D49" s="120" t="n"/>
      <c r="E49" s="40" t="inlineStr">
        <is>
          <t>Top Head</t>
        </is>
      </c>
      <c r="F49" s="40" t="inlineStr">
        <is>
          <t>98% Sulphuric Acid 
with Dry Cl2 gas</t>
        </is>
      </c>
      <c r="G49" s="41" t="inlineStr">
        <is>
          <t>Gas</t>
        </is>
      </c>
      <c r="H49" s="120" t="n"/>
      <c r="I49" s="40" t="inlineStr">
        <is>
          <t>Carbon Steel</t>
        </is>
      </c>
      <c r="J49" s="40" t="inlineStr">
        <is>
          <t>SA-516M</t>
        </is>
      </c>
      <c r="K49" s="40" t="inlineStr">
        <is>
          <t>Grade: 485</t>
        </is>
      </c>
      <c r="L49" s="40" t="inlineStr">
        <is>
          <t xml:space="preserve"> -</t>
        </is>
      </c>
      <c r="M49" s="41" t="n">
        <v>100</v>
      </c>
      <c r="N49" s="43" t="n">
        <v>5.88</v>
      </c>
      <c r="O49" s="41" t="n">
        <v>45</v>
      </c>
      <c r="P49" s="43" t="n">
        <v>3.43</v>
      </c>
      <c r="Q49" s="43" t="n">
        <v>700</v>
      </c>
      <c r="R49" s="41" t="n">
        <v>10</v>
      </c>
      <c r="S49" s="41" t="n">
        <v>10</v>
      </c>
      <c r="T49" s="41" t="n">
        <v>1.5</v>
      </c>
      <c r="U49" s="41" t="n">
        <v>10.41</v>
      </c>
      <c r="V49" s="44" t="n">
        <v>43344</v>
      </c>
      <c r="W49" s="41" t="n">
        <v>9.26</v>
      </c>
      <c r="X49" s="45" t="n">
        <v>44013</v>
      </c>
      <c r="Y49" s="47" t="n">
        <v>9.4</v>
      </c>
      <c r="Z49" s="45" t="n">
        <v>44378</v>
      </c>
      <c r="AA49" s="46">
        <f>IF(((W49-Y49)/1)&gt;0,(W49-Y49)/1,0.035)</f>
        <v/>
      </c>
      <c r="AB49" s="46">
        <f>IF(((U49-Y49)/2.83)&gt;0,(U49-Y49)/2.83,0.035)</f>
        <v/>
      </c>
      <c r="AC49" s="47">
        <f>MAX(AA49,AB49)</f>
        <v/>
      </c>
      <c r="AD49" s="47" t="inlineStr">
        <is>
          <t>LTCR</t>
        </is>
      </c>
      <c r="AE49" s="43">
        <f>(Y49-T49)/AC49</f>
        <v/>
      </c>
      <c r="AF49" s="53" t="n">
        <v>42705</v>
      </c>
      <c r="AG49" s="49" t="n">
        <v>1.74948665297741</v>
      </c>
      <c r="AH49" s="1" t="n"/>
    </row>
    <row r="50" ht="48" customHeight="1" s="101">
      <c r="A50" s="119" t="n"/>
      <c r="B50" s="119" t="n"/>
      <c r="C50" s="119" t="n"/>
      <c r="D50" s="119" t="n"/>
      <c r="E50" s="40" t="inlineStr">
        <is>
          <t>Bottom Head</t>
        </is>
      </c>
      <c r="F50" s="40" t="inlineStr">
        <is>
          <t>98% Sulphuric Acid 
with Dry Cl2 gas</t>
        </is>
      </c>
      <c r="G50" s="41" t="inlineStr">
        <is>
          <t>Gas</t>
        </is>
      </c>
      <c r="H50" s="119" t="n"/>
      <c r="I50" s="40" t="inlineStr">
        <is>
          <t>Carbon Steel</t>
        </is>
      </c>
      <c r="J50" s="40" t="inlineStr">
        <is>
          <t>SA-516M</t>
        </is>
      </c>
      <c r="K50" s="40" t="inlineStr">
        <is>
          <t>Grade: 485</t>
        </is>
      </c>
      <c r="L50" s="40" t="inlineStr">
        <is>
          <t xml:space="preserve"> -</t>
        </is>
      </c>
      <c r="M50" s="41" t="n">
        <v>100</v>
      </c>
      <c r="N50" s="43" t="n">
        <v>5.88</v>
      </c>
      <c r="O50" s="41" t="n">
        <v>45</v>
      </c>
      <c r="P50" s="43" t="n">
        <v>3.43</v>
      </c>
      <c r="Q50" s="43" t="n">
        <v>700</v>
      </c>
      <c r="R50" s="41" t="n">
        <v>10</v>
      </c>
      <c r="S50" s="41" t="n">
        <v>10</v>
      </c>
      <c r="T50" s="41" t="n">
        <v>1.5</v>
      </c>
      <c r="U50" s="47" t="n">
        <v>10.1</v>
      </c>
      <c r="V50" s="44" t="n">
        <v>43344</v>
      </c>
      <c r="W50" s="47" t="n">
        <v>10.05</v>
      </c>
      <c r="X50" s="45" t="n">
        <v>44013</v>
      </c>
      <c r="Y50" s="41" t="n">
        <v>9.220000000000001</v>
      </c>
      <c r="Z50" s="45" t="n">
        <v>44378</v>
      </c>
      <c r="AA50" s="46">
        <f>IF(((W50-Y50)/1)&gt;0,(W50-Y50)/1,0.035)</f>
        <v/>
      </c>
      <c r="AB50" s="46">
        <f>IF(((U50-Y50)/2.83)&gt;0,(U50-Y50)/2.83,0.035)</f>
        <v/>
      </c>
      <c r="AC50" s="47">
        <f>MAX(AA50,AB50)</f>
        <v/>
      </c>
      <c r="AD50" s="47" t="inlineStr">
        <is>
          <t>STCR</t>
        </is>
      </c>
      <c r="AE50" s="43">
        <f>(Y50-T50)/AC50</f>
        <v/>
      </c>
      <c r="AF50" s="53" t="n">
        <v>42705</v>
      </c>
      <c r="AG50" s="49" t="n">
        <v>1.74948665297741</v>
      </c>
      <c r="AH50" s="1" t="n"/>
    </row>
    <row r="51" ht="48" customHeight="1" s="101">
      <c r="A51" s="54" t="n">
        <v>20</v>
      </c>
      <c r="B51" s="55" t="inlineStr">
        <is>
          <t>D-440B</t>
        </is>
      </c>
      <c r="C51" s="55" t="inlineStr">
        <is>
          <t>JH PMT 31022</t>
        </is>
      </c>
      <c r="D51" s="122" t="inlineStr">
        <is>
          <t>Acid Separator</t>
        </is>
      </c>
      <c r="E51" s="40" t="inlineStr">
        <is>
          <t>Shell</t>
        </is>
      </c>
      <c r="F51" s="40" t="inlineStr">
        <is>
          <t>98% Sulphuric Acid 
with Dry Cl2 gas</t>
        </is>
      </c>
      <c r="G51" s="41" t="inlineStr">
        <is>
          <t>Gas</t>
        </is>
      </c>
      <c r="H51" s="40" t="inlineStr">
        <is>
          <t>ASME Section VIII Div. 1 2013 ED</t>
        </is>
      </c>
      <c r="I51" s="40" t="inlineStr">
        <is>
          <t>Carbon Steel</t>
        </is>
      </c>
      <c r="J51" s="40" t="inlineStr">
        <is>
          <t>SA-516M</t>
        </is>
      </c>
      <c r="K51" s="40" t="inlineStr">
        <is>
          <t>Grade: 485</t>
        </is>
      </c>
      <c r="L51" s="40" t="inlineStr">
        <is>
          <t xml:space="preserve"> -</t>
        </is>
      </c>
      <c r="M51" s="41" t="n">
        <v>100</v>
      </c>
      <c r="N51" s="43" t="n">
        <v>5.88</v>
      </c>
      <c r="O51" s="41" t="n">
        <v>45</v>
      </c>
      <c r="P51" s="43" t="n">
        <v>3.43</v>
      </c>
      <c r="Q51" s="43" t="n">
        <v>700</v>
      </c>
      <c r="R51" s="41" t="n">
        <v>10</v>
      </c>
      <c r="S51" s="41" t="n">
        <v>10</v>
      </c>
      <c r="T51" s="41" t="n">
        <v>1.5</v>
      </c>
      <c r="U51" s="41" t="n">
        <v>10.11</v>
      </c>
      <c r="V51" s="44" t="n">
        <v>43344</v>
      </c>
      <c r="W51" s="47" t="n">
        <v>10.11</v>
      </c>
      <c r="X51" s="45" t="n">
        <v>44013</v>
      </c>
      <c r="Y51" s="41" t="n">
        <v>10.19</v>
      </c>
      <c r="Z51" s="45" t="n">
        <v>44378</v>
      </c>
      <c r="AA51" s="46">
        <f>IF(((W51-Y51)/1)&gt;0,(W51-Y51)/1,0.035)</f>
        <v/>
      </c>
      <c r="AB51" s="46">
        <f>IF(((U51-Y51)/2.83)&gt;0,(U51-Y51)/2.83,0.035)</f>
        <v/>
      </c>
      <c r="AC51" s="47">
        <f>MAX(AA51,AB51)</f>
        <v/>
      </c>
      <c r="AD51" s="47" t="inlineStr">
        <is>
          <t>LTCR</t>
        </is>
      </c>
      <c r="AE51" s="43">
        <f>(Y51-T51)/AC51</f>
        <v/>
      </c>
      <c r="AF51" s="53" t="n">
        <v>42705</v>
      </c>
      <c r="AG51" s="49" t="n">
        <v>1.74948665297741</v>
      </c>
      <c r="AH51" s="1" t="n"/>
    </row>
    <row r="52" ht="48" customHeight="1" s="101">
      <c r="A52" s="120" t="n"/>
      <c r="B52" s="120" t="n"/>
      <c r="C52" s="120" t="n"/>
      <c r="D52" s="120" t="n"/>
      <c r="E52" s="40" t="inlineStr">
        <is>
          <t>Top Head</t>
        </is>
      </c>
      <c r="F52" s="40" t="inlineStr">
        <is>
          <t>98% Sulphuric Acid 
with Dry Cl2 gas</t>
        </is>
      </c>
      <c r="G52" s="41" t="inlineStr">
        <is>
          <t>Gas</t>
        </is>
      </c>
      <c r="H52" s="120" t="n"/>
      <c r="I52" s="40" t="inlineStr">
        <is>
          <t>Carbon Steel</t>
        </is>
      </c>
      <c r="J52" s="40" t="inlineStr">
        <is>
          <t>SA-516M</t>
        </is>
      </c>
      <c r="K52" s="40" t="inlineStr">
        <is>
          <t>Grade: 485</t>
        </is>
      </c>
      <c r="L52" s="40" t="inlineStr">
        <is>
          <t xml:space="preserve"> -</t>
        </is>
      </c>
      <c r="M52" s="41" t="n">
        <v>100</v>
      </c>
      <c r="N52" s="43" t="n">
        <v>5.88</v>
      </c>
      <c r="O52" s="41" t="n">
        <v>45</v>
      </c>
      <c r="P52" s="43" t="n">
        <v>3.43</v>
      </c>
      <c r="Q52" s="43" t="n">
        <v>700</v>
      </c>
      <c r="R52" s="41" t="n">
        <v>10</v>
      </c>
      <c r="S52" s="41" t="n">
        <v>10</v>
      </c>
      <c r="T52" s="41" t="n">
        <v>1.5</v>
      </c>
      <c r="U52" s="41" t="n">
        <v>10.14</v>
      </c>
      <c r="V52" s="44" t="n">
        <v>43344</v>
      </c>
      <c r="W52" s="41" t="n">
        <v>9.6</v>
      </c>
      <c r="X52" s="45" t="n">
        <v>44013</v>
      </c>
      <c r="Y52" s="41" t="n">
        <v>9.65</v>
      </c>
      <c r="Z52" s="45" t="n">
        <v>44378</v>
      </c>
      <c r="AA52" s="46">
        <f>IF(((W52-Y52)/1)&gt;0,(W52-Y52)/1,0.035)</f>
        <v/>
      </c>
      <c r="AB52" s="46">
        <f>IF(((U52-Y52)/2.83)&gt;0,(U52-Y52)/2.83,0.035)</f>
        <v/>
      </c>
      <c r="AC52" s="47">
        <f>MAX(AA52,AB52)</f>
        <v/>
      </c>
      <c r="AD52" s="47" t="inlineStr">
        <is>
          <t>LTCR</t>
        </is>
      </c>
      <c r="AE52" s="43">
        <f>(Y52-T52)/AC52</f>
        <v/>
      </c>
      <c r="AF52" s="53" t="n">
        <v>42705</v>
      </c>
      <c r="AG52" s="49" t="n">
        <v>1.74948665297741</v>
      </c>
      <c r="AH52" s="1" t="n"/>
    </row>
    <row r="53" ht="48" customHeight="1" s="101">
      <c r="A53" s="119" t="n"/>
      <c r="B53" s="119" t="n"/>
      <c r="C53" s="119" t="n"/>
      <c r="D53" s="119" t="n"/>
      <c r="E53" s="40" t="inlineStr">
        <is>
          <t>Bottom Head</t>
        </is>
      </c>
      <c r="F53" s="40" t="inlineStr">
        <is>
          <t>98% Sulphuric Acid 
with Dry Cl2 gas</t>
        </is>
      </c>
      <c r="G53" s="41" t="inlineStr">
        <is>
          <t>Gas</t>
        </is>
      </c>
      <c r="H53" s="119" t="n"/>
      <c r="I53" s="40" t="inlineStr">
        <is>
          <t>Carbon Steel</t>
        </is>
      </c>
      <c r="J53" s="40" t="inlineStr">
        <is>
          <t>SA-516M</t>
        </is>
      </c>
      <c r="K53" s="40" t="inlineStr">
        <is>
          <t>Grade: 485</t>
        </is>
      </c>
      <c r="L53" s="40" t="inlineStr">
        <is>
          <t xml:space="preserve"> -</t>
        </is>
      </c>
      <c r="M53" s="41" t="n">
        <v>100</v>
      </c>
      <c r="N53" s="43" t="n">
        <v>5.88</v>
      </c>
      <c r="O53" s="41" t="n">
        <v>45</v>
      </c>
      <c r="P53" s="43" t="n">
        <v>3.43</v>
      </c>
      <c r="Q53" s="43" t="n">
        <v>700</v>
      </c>
      <c r="R53" s="41" t="n">
        <v>10</v>
      </c>
      <c r="S53" s="41" t="n">
        <v>10</v>
      </c>
      <c r="T53" s="41" t="n">
        <v>1.5</v>
      </c>
      <c r="U53" s="41" t="n">
        <v>10.01</v>
      </c>
      <c r="V53" s="44" t="n">
        <v>43344</v>
      </c>
      <c r="W53" s="47" t="n">
        <v>9.460000000000001</v>
      </c>
      <c r="X53" s="45" t="n">
        <v>44013</v>
      </c>
      <c r="Y53" s="47" t="n">
        <v>9.5</v>
      </c>
      <c r="Z53" s="45" t="n">
        <v>44378</v>
      </c>
      <c r="AA53" s="46">
        <f>IF(((W53-Y53)/1)&gt;0,(W53-Y53)/1,0.035)</f>
        <v/>
      </c>
      <c r="AB53" s="46">
        <f>IF(((U53-Y53)/2.83)&gt;0,(U53-Y53)/2.83,0.035)</f>
        <v/>
      </c>
      <c r="AC53" s="47">
        <f>MAX(AA53,AB53)</f>
        <v/>
      </c>
      <c r="AD53" s="47" t="inlineStr">
        <is>
          <t>LTCR</t>
        </is>
      </c>
      <c r="AE53" s="43">
        <f>(Y53-T53)/AC53</f>
        <v/>
      </c>
      <c r="AF53" s="53" t="n">
        <v>42705</v>
      </c>
      <c r="AG53" s="49" t="n">
        <v>1.74948665297741</v>
      </c>
      <c r="AH53" s="1" t="n"/>
    </row>
    <row r="54" ht="48" customHeight="1" s="101">
      <c r="A54" s="54" t="n">
        <v>21</v>
      </c>
      <c r="B54" s="55" t="inlineStr">
        <is>
          <t>F-180A</t>
        </is>
      </c>
      <c r="C54" s="55" t="inlineStr">
        <is>
          <t>JH PMT 31024</t>
        </is>
      </c>
      <c r="D54" s="122" t="inlineStr">
        <is>
          <t>Anthracite Filter Vessel</t>
        </is>
      </c>
      <c r="E54" s="40" t="inlineStr">
        <is>
          <t>Shell</t>
        </is>
      </c>
      <c r="F54" s="40" t="inlineStr">
        <is>
          <t>Clarified Brine</t>
        </is>
      </c>
      <c r="G54" s="41" t="inlineStr">
        <is>
          <t>Liquid</t>
        </is>
      </c>
      <c r="H54" s="40" t="inlineStr">
        <is>
          <t>ASME Section VIII Div. 1 2013 ED + 
IS: 4682 Part 1</t>
        </is>
      </c>
      <c r="I54" s="40" t="inlineStr">
        <is>
          <t>Carbon Steel</t>
        </is>
      </c>
      <c r="J54" s="40" t="inlineStr">
        <is>
          <t>SA-516M</t>
        </is>
      </c>
      <c r="K54" s="40" t="inlineStr">
        <is>
          <t>Grade: 485</t>
        </is>
      </c>
      <c r="L54" s="40" t="inlineStr">
        <is>
          <t>5mm Rubber 
Lining</t>
        </is>
      </c>
      <c r="M54" s="41" t="n">
        <v>80</v>
      </c>
      <c r="N54" s="43" t="n">
        <v>5.88</v>
      </c>
      <c r="O54" s="41" t="n">
        <v>60</v>
      </c>
      <c r="P54" s="43" t="n">
        <v>2.94</v>
      </c>
      <c r="Q54" s="43" t="n">
        <v>2116</v>
      </c>
      <c r="R54" s="41" t="n">
        <v>8</v>
      </c>
      <c r="S54" s="41" t="n">
        <v>8</v>
      </c>
      <c r="T54" s="41" t="n">
        <v>5.28</v>
      </c>
      <c r="U54" s="41" t="n">
        <v>8.91</v>
      </c>
      <c r="V54" s="44" t="n">
        <v>43344</v>
      </c>
      <c r="W54" s="41" t="n">
        <v>8.42</v>
      </c>
      <c r="X54" s="45" t="n">
        <v>44013</v>
      </c>
      <c r="Y54" s="41" t="n">
        <v>8.4</v>
      </c>
      <c r="Z54" s="45" t="n">
        <v>44378</v>
      </c>
      <c r="AA54" s="46">
        <f>IF(((W54-Y54)/1)&gt;0,(W54-Y54)/1,0.035)</f>
        <v/>
      </c>
      <c r="AB54" s="46">
        <f>IF(((U54-Y54)/2.83)&gt;0,(U54-Y54)/2.83,0.035)</f>
        <v/>
      </c>
      <c r="AC54" s="47">
        <f>MAX(AA54,AB54)</f>
        <v/>
      </c>
      <c r="AD54" s="47" t="inlineStr">
        <is>
          <t>STCR</t>
        </is>
      </c>
      <c r="AE54" s="43">
        <f>(Y54-T54)/AC54</f>
        <v/>
      </c>
      <c r="AF54" s="53" t="n">
        <v>42705</v>
      </c>
      <c r="AG54" s="49" t="n">
        <v>1.74948665297741</v>
      </c>
      <c r="AH54" s="1" t="n"/>
    </row>
    <row r="55" ht="48" customHeight="1" s="101">
      <c r="A55" s="120" t="n"/>
      <c r="B55" s="120" t="n"/>
      <c r="C55" s="120" t="n"/>
      <c r="D55" s="120" t="n"/>
      <c r="E55" s="40" t="inlineStr">
        <is>
          <t>Top Head</t>
        </is>
      </c>
      <c r="F55" s="40" t="inlineStr">
        <is>
          <t>Clarified Brine</t>
        </is>
      </c>
      <c r="G55" s="41" t="inlineStr">
        <is>
          <t>Liquid</t>
        </is>
      </c>
      <c r="H55" s="120" t="n"/>
      <c r="I55" s="40" t="inlineStr">
        <is>
          <t>Carbon Steel</t>
        </is>
      </c>
      <c r="J55" s="40" t="inlineStr">
        <is>
          <t>SA-516M</t>
        </is>
      </c>
      <c r="K55" s="40" t="inlineStr">
        <is>
          <t>Grade: 485</t>
        </is>
      </c>
      <c r="L55" s="40" t="inlineStr">
        <is>
          <t>5mm Rubber 
Lining</t>
        </is>
      </c>
      <c r="M55" s="41" t="n">
        <v>80</v>
      </c>
      <c r="N55" s="43" t="n">
        <v>5.88</v>
      </c>
      <c r="O55" s="41" t="n">
        <v>60</v>
      </c>
      <c r="P55" s="43" t="n">
        <v>2.94</v>
      </c>
      <c r="Q55" s="43" t="n">
        <v>2116</v>
      </c>
      <c r="R55" s="41" t="n">
        <v>8</v>
      </c>
      <c r="S55" s="41" t="n">
        <v>8</v>
      </c>
      <c r="T55" s="41" t="n">
        <v>4.48</v>
      </c>
      <c r="U55" s="41" t="n">
        <v>9.220000000000001</v>
      </c>
      <c r="V55" s="44" t="n">
        <v>43344</v>
      </c>
      <c r="W55" s="41" t="n">
        <v>8.44</v>
      </c>
      <c r="X55" s="45" t="n">
        <v>44013</v>
      </c>
      <c r="Y55" s="41" t="n">
        <v>8.44</v>
      </c>
      <c r="Z55" s="45" t="n">
        <v>44378</v>
      </c>
      <c r="AA55" s="46">
        <f>IF(((W55-Y55)/1)&gt;0,(W55-Y55)/1,0.035)</f>
        <v/>
      </c>
      <c r="AB55" s="46">
        <f>IF(((U55-Y55)/2.83)&gt;0,(U55-Y55)/2.83,0.035)</f>
        <v/>
      </c>
      <c r="AC55" s="47">
        <f>MAX(AA55,AB55)</f>
        <v/>
      </c>
      <c r="AD55" s="47" t="inlineStr">
        <is>
          <t>STCR</t>
        </is>
      </c>
      <c r="AE55" s="43">
        <f>(Y55-T55)/AC55</f>
        <v/>
      </c>
      <c r="AF55" s="53" t="n">
        <v>42705</v>
      </c>
      <c r="AG55" s="49" t="n">
        <v>1.74948665297741</v>
      </c>
      <c r="AH55" s="1" t="n"/>
    </row>
    <row r="56" ht="48" customHeight="1" s="101">
      <c r="A56" s="119" t="n"/>
      <c r="B56" s="119" t="n"/>
      <c r="C56" s="119" t="n"/>
      <c r="D56" s="119" t="n"/>
      <c r="E56" s="40" t="inlineStr">
        <is>
          <t>Bottom Head</t>
        </is>
      </c>
      <c r="F56" s="40" t="inlineStr">
        <is>
          <t>Clarified Brine</t>
        </is>
      </c>
      <c r="G56" s="41" t="inlineStr">
        <is>
          <t>Liquid</t>
        </is>
      </c>
      <c r="H56" s="119" t="n"/>
      <c r="I56" s="40" t="inlineStr">
        <is>
          <t>Carbon Steel</t>
        </is>
      </c>
      <c r="J56" s="40" t="inlineStr">
        <is>
          <t>SA-516M</t>
        </is>
      </c>
      <c r="K56" s="40" t="inlineStr">
        <is>
          <t>Grade: 485</t>
        </is>
      </c>
      <c r="L56" s="40" t="inlineStr">
        <is>
          <t>5mm Rubber 
Lining</t>
        </is>
      </c>
      <c r="M56" s="41" t="n">
        <v>80</v>
      </c>
      <c r="N56" s="43" t="n">
        <v>5.88</v>
      </c>
      <c r="O56" s="41" t="n">
        <v>60</v>
      </c>
      <c r="P56" s="43" t="n">
        <v>2.94</v>
      </c>
      <c r="Q56" s="43" t="n">
        <v>2116</v>
      </c>
      <c r="R56" s="41" t="n">
        <v>8</v>
      </c>
      <c r="S56" s="41" t="n">
        <v>8</v>
      </c>
      <c r="T56" s="41" t="n">
        <v>4.48</v>
      </c>
      <c r="U56" s="41" t="n">
        <v>9.44</v>
      </c>
      <c r="V56" s="44" t="n">
        <v>43344</v>
      </c>
      <c r="W56" s="41" t="n">
        <v>8.76</v>
      </c>
      <c r="X56" s="45" t="n">
        <v>44013</v>
      </c>
      <c r="Y56" s="41" t="n">
        <v>8.720000000000001</v>
      </c>
      <c r="Z56" s="45" t="n">
        <v>44378</v>
      </c>
      <c r="AA56" s="46">
        <f>IF(((W56-Y56)/1)&gt;0,(W56-Y56)/1,0.035)</f>
        <v/>
      </c>
      <c r="AB56" s="46">
        <f>IF(((U56-Y56)/2.83)&gt;0,(U56-Y56)/2.83,0.035)</f>
        <v/>
      </c>
      <c r="AC56" s="47">
        <f>MAX(AA56,AB56)</f>
        <v/>
      </c>
      <c r="AD56" s="47" t="inlineStr">
        <is>
          <t>STCR</t>
        </is>
      </c>
      <c r="AE56" s="43">
        <f>(Y56-T56)/AC56</f>
        <v/>
      </c>
      <c r="AF56" s="53" t="n">
        <v>42705</v>
      </c>
      <c r="AG56" s="49" t="n">
        <v>1.74948665297741</v>
      </c>
      <c r="AH56" s="1" t="n"/>
    </row>
    <row r="57" ht="48" customHeight="1" s="101">
      <c r="A57" s="54" t="n">
        <v>22</v>
      </c>
      <c r="B57" s="55" t="inlineStr">
        <is>
          <t>F-180B</t>
        </is>
      </c>
      <c r="C57" s="55" t="inlineStr">
        <is>
          <t>JH PMT 31025</t>
        </is>
      </c>
      <c r="D57" s="122" t="inlineStr">
        <is>
          <t>Anthracite Filter Vessel</t>
        </is>
      </c>
      <c r="E57" s="40" t="inlineStr">
        <is>
          <t>Shell</t>
        </is>
      </c>
      <c r="F57" s="40" t="inlineStr">
        <is>
          <t>Clarified Brine</t>
        </is>
      </c>
      <c r="G57" s="41" t="inlineStr">
        <is>
          <t>Liquid</t>
        </is>
      </c>
      <c r="H57" s="40" t="inlineStr">
        <is>
          <t>ASME Section VIII Div. 1 2013 ED + 
IS: 4682 Part 1</t>
        </is>
      </c>
      <c r="I57" s="40" t="inlineStr">
        <is>
          <t>Carbon Steel</t>
        </is>
      </c>
      <c r="J57" s="40" t="inlineStr">
        <is>
          <t>SA-516M</t>
        </is>
      </c>
      <c r="K57" s="40" t="inlineStr">
        <is>
          <t>Grade: 485</t>
        </is>
      </c>
      <c r="L57" s="40" t="inlineStr">
        <is>
          <t>5mm Rubber 
Lining</t>
        </is>
      </c>
      <c r="M57" s="41" t="n">
        <v>80</v>
      </c>
      <c r="N57" s="43" t="n">
        <v>5.88</v>
      </c>
      <c r="O57" s="41" t="n">
        <v>60</v>
      </c>
      <c r="P57" s="43" t="n">
        <v>2.94</v>
      </c>
      <c r="Q57" s="43" t="n">
        <v>2116</v>
      </c>
      <c r="R57" s="41" t="n">
        <v>8</v>
      </c>
      <c r="S57" s="41" t="n">
        <v>8</v>
      </c>
      <c r="T57" s="41" t="n">
        <v>5.28</v>
      </c>
      <c r="U57" s="41" t="n">
        <v>8.84</v>
      </c>
      <c r="V57" s="44" t="n">
        <v>43344</v>
      </c>
      <c r="W57" s="41" t="n">
        <v>8.359999999999999</v>
      </c>
      <c r="X57" s="45" t="n">
        <v>44013</v>
      </c>
      <c r="Y57" s="41" t="n">
        <v>8.300000000000001</v>
      </c>
      <c r="Z57" s="45" t="n">
        <v>44378</v>
      </c>
      <c r="AA57" s="46">
        <f>IF(((W57-Y57)/1)&gt;0,(W57-Y57)/1,0.035)</f>
        <v/>
      </c>
      <c r="AB57" s="46">
        <f>IF(((U57-Y57)/2.83)&gt;0,(U57-Y57)/2.83,0.035)</f>
        <v/>
      </c>
      <c r="AC57" s="47">
        <f>MAX(AA57,AB57)</f>
        <v/>
      </c>
      <c r="AD57" s="47" t="inlineStr">
        <is>
          <t>LTCR</t>
        </is>
      </c>
      <c r="AE57" s="43">
        <f>(Y57-T57)/AC57</f>
        <v/>
      </c>
      <c r="AF57" s="53" t="n">
        <v>42705</v>
      </c>
      <c r="AG57" s="49" t="n">
        <v>1.74948665297741</v>
      </c>
      <c r="AH57" s="1" t="n"/>
    </row>
    <row r="58" ht="48" customHeight="1" s="101">
      <c r="A58" s="120" t="n"/>
      <c r="B58" s="120" t="n"/>
      <c r="C58" s="120" t="n"/>
      <c r="D58" s="120" t="n"/>
      <c r="E58" s="40" t="inlineStr">
        <is>
          <t>Top Head</t>
        </is>
      </c>
      <c r="F58" s="40" t="inlineStr">
        <is>
          <t>Clarified Brine</t>
        </is>
      </c>
      <c r="G58" s="41" t="inlineStr">
        <is>
          <t>Liquid</t>
        </is>
      </c>
      <c r="H58" s="120" t="n"/>
      <c r="I58" s="40" t="inlineStr">
        <is>
          <t>Carbon Steel</t>
        </is>
      </c>
      <c r="J58" s="40" t="inlineStr">
        <is>
          <t>SA-516M</t>
        </is>
      </c>
      <c r="K58" s="40" t="inlineStr">
        <is>
          <t>Grade: 485</t>
        </is>
      </c>
      <c r="L58" s="40" t="inlineStr">
        <is>
          <t>5mm Rubber 
Lining</t>
        </is>
      </c>
      <c r="M58" s="41" t="n">
        <v>80</v>
      </c>
      <c r="N58" s="43" t="n">
        <v>5.88</v>
      </c>
      <c r="O58" s="41" t="n">
        <v>60</v>
      </c>
      <c r="P58" s="43" t="n">
        <v>2.94</v>
      </c>
      <c r="Q58" s="43" t="n">
        <v>2116</v>
      </c>
      <c r="R58" s="41" t="n">
        <v>8</v>
      </c>
      <c r="S58" s="41" t="n">
        <v>8</v>
      </c>
      <c r="T58" s="41" t="n">
        <v>4.48</v>
      </c>
      <c r="U58" s="41" t="n">
        <v>9.380000000000001</v>
      </c>
      <c r="V58" s="44" t="n">
        <v>43344</v>
      </c>
      <c r="W58" s="41" t="n">
        <v>8.85</v>
      </c>
      <c r="X58" s="45" t="n">
        <v>44013</v>
      </c>
      <c r="Y58" s="41" t="n">
        <v>8.720000000000001</v>
      </c>
      <c r="Z58" s="45" t="n">
        <v>44378</v>
      </c>
      <c r="AA58" s="46">
        <f>IF(((W58-Y58)/1)&gt;0,(W58-Y58)/1,0.035)</f>
        <v/>
      </c>
      <c r="AB58" s="46">
        <f>IF(((U58-Y58)/2.83)&gt;0,(U58-Y58)/2.83,0.035)</f>
        <v/>
      </c>
      <c r="AC58" s="47">
        <f>MAX(AA58,AB58)</f>
        <v/>
      </c>
      <c r="AD58" s="47" t="inlineStr">
        <is>
          <t>LTCR</t>
        </is>
      </c>
      <c r="AE58" s="43">
        <f>(Y58-T58)/AC58</f>
        <v/>
      </c>
      <c r="AF58" s="53" t="n">
        <v>42705</v>
      </c>
      <c r="AG58" s="49" t="n">
        <v>1.74948665297741</v>
      </c>
      <c r="AH58" s="1" t="n"/>
    </row>
    <row r="59" ht="48" customHeight="1" s="101">
      <c r="A59" s="119" t="n"/>
      <c r="B59" s="119" t="n"/>
      <c r="C59" s="119" t="n"/>
      <c r="D59" s="119" t="n"/>
      <c r="E59" s="40" t="inlineStr">
        <is>
          <t>Bottom Head</t>
        </is>
      </c>
      <c r="F59" s="40" t="inlineStr">
        <is>
          <t>Clarified Brine</t>
        </is>
      </c>
      <c r="G59" s="41" t="inlineStr">
        <is>
          <t>Liquid</t>
        </is>
      </c>
      <c r="H59" s="119" t="n"/>
      <c r="I59" s="40" t="inlineStr">
        <is>
          <t>Carbon Steel</t>
        </is>
      </c>
      <c r="J59" s="40" t="inlineStr">
        <is>
          <t>SA-516M</t>
        </is>
      </c>
      <c r="K59" s="40" t="inlineStr">
        <is>
          <t>Grade: 485</t>
        </is>
      </c>
      <c r="L59" s="40" t="inlineStr">
        <is>
          <t>5mm Rubber 
Lining</t>
        </is>
      </c>
      <c r="M59" s="41" t="n">
        <v>80</v>
      </c>
      <c r="N59" s="43" t="n">
        <v>5.88</v>
      </c>
      <c r="O59" s="41" t="n">
        <v>60</v>
      </c>
      <c r="P59" s="43" t="n">
        <v>2.94</v>
      </c>
      <c r="Q59" s="43" t="n">
        <v>2116</v>
      </c>
      <c r="R59" s="41" t="n">
        <v>8</v>
      </c>
      <c r="S59" s="41" t="n">
        <v>8</v>
      </c>
      <c r="T59" s="41" t="n">
        <v>4.48</v>
      </c>
      <c r="U59" s="41" t="n">
        <v>9.82</v>
      </c>
      <c r="V59" s="44" t="n">
        <v>43344</v>
      </c>
      <c r="W59" s="41" t="n">
        <v>8.630000000000001</v>
      </c>
      <c r="X59" s="45" t="n">
        <v>44013</v>
      </c>
      <c r="Y59" s="41" t="n">
        <v>8.6</v>
      </c>
      <c r="Z59" s="45" t="n">
        <v>44378</v>
      </c>
      <c r="AA59" s="46">
        <f>IF(((W59-Y59)/1)&gt;0,(W59-Y59)/1,0.035)</f>
        <v/>
      </c>
      <c r="AB59" s="46">
        <f>IF(((U59-Y59)/2.83)&gt;0,(U59-Y59)/2.83,0.035)</f>
        <v/>
      </c>
      <c r="AC59" s="47">
        <f>MAX(AA59,AB59)</f>
        <v/>
      </c>
      <c r="AD59" s="47" t="inlineStr">
        <is>
          <t>LTCR</t>
        </is>
      </c>
      <c r="AE59" s="43">
        <f>(Y59-T59)/AC59</f>
        <v/>
      </c>
      <c r="AF59" s="53" t="n">
        <v>42705</v>
      </c>
      <c r="AG59" s="49" t="n">
        <v>1.74948665297741</v>
      </c>
      <c r="AH59" s="1" t="n"/>
    </row>
    <row r="60" ht="48" customHeight="1" s="101">
      <c r="A60" s="54" t="n">
        <v>23</v>
      </c>
      <c r="B60" s="55" t="inlineStr">
        <is>
          <t>F140A</t>
        </is>
      </c>
      <c r="C60" s="55" t="inlineStr">
        <is>
          <t>PMT 94015</t>
        </is>
      </c>
      <c r="D60" s="122" t="inlineStr">
        <is>
          <t>Brine Filter A</t>
        </is>
      </c>
      <c r="E60" s="40" t="inlineStr">
        <is>
          <t>Shell</t>
        </is>
      </c>
      <c r="F60" s="40" t="inlineStr">
        <is>
          <t>Brine</t>
        </is>
      </c>
      <c r="G60" s="41" t="inlineStr">
        <is>
          <t>Liquid</t>
        </is>
      </c>
      <c r="H60" s="40" t="inlineStr">
        <is>
          <t>ASME Section VIII Div. 1 1995 ED</t>
        </is>
      </c>
      <c r="I60" s="40" t="inlineStr">
        <is>
          <t>Carbon Steel</t>
        </is>
      </c>
      <c r="J60" s="40" t="inlineStr">
        <is>
          <t>JIS G3101</t>
        </is>
      </c>
      <c r="K60" s="40" t="inlineStr">
        <is>
          <t>SS 400</t>
        </is>
      </c>
      <c r="L60" s="40" t="inlineStr">
        <is>
          <t>4mm Hard 
Rubber Lining</t>
        </is>
      </c>
      <c r="M60" s="41" t="n">
        <v>70</v>
      </c>
      <c r="N60" s="43" t="n">
        <v>5.88</v>
      </c>
      <c r="O60" s="41" t="n">
        <v>60</v>
      </c>
      <c r="P60" s="43" t="n">
        <v>4.41</v>
      </c>
      <c r="Q60" s="43" t="n">
        <v>1418</v>
      </c>
      <c r="R60" s="41" t="n">
        <v>9</v>
      </c>
      <c r="S60" s="41" t="n">
        <v>9</v>
      </c>
      <c r="T60" s="41" t="n">
        <v>5.18</v>
      </c>
      <c r="U60" s="41" t="n">
        <v>9.08</v>
      </c>
      <c r="V60" s="44" t="n">
        <v>43344</v>
      </c>
      <c r="W60" s="47" t="n">
        <v>8.880000000000001</v>
      </c>
      <c r="X60" s="45" t="n">
        <v>44013</v>
      </c>
      <c r="Y60" s="41" t="n">
        <v>8.720000000000001</v>
      </c>
      <c r="Z60" s="45" t="n">
        <v>44378</v>
      </c>
      <c r="AA60" s="46">
        <f>IF(((W60-Y60)/1)&gt;0,(W60-Y60)/1,0.035)</f>
        <v/>
      </c>
      <c r="AB60" s="46">
        <f>IF(((U60-Y60)/2.83)&gt;0,(U60-Y60)/2.83,0.035)</f>
        <v/>
      </c>
      <c r="AC60" s="47">
        <f>MAX(AA60,AB60)</f>
        <v/>
      </c>
      <c r="AD60" s="47" t="inlineStr">
        <is>
          <t>STCR</t>
        </is>
      </c>
      <c r="AE60" s="43">
        <f>(Y60-T60)/AC60</f>
        <v/>
      </c>
      <c r="AF60" s="53" t="n">
        <v>35247</v>
      </c>
      <c r="AG60" s="49" t="n">
        <v>22.1683778234086</v>
      </c>
      <c r="AH60" s="1" t="n"/>
    </row>
    <row r="61" ht="48" customHeight="1" s="101">
      <c r="A61" s="120" t="n"/>
      <c r="B61" s="120" t="n"/>
      <c r="C61" s="120" t="n"/>
      <c r="D61" s="120" t="n"/>
      <c r="E61" s="40" t="inlineStr">
        <is>
          <t>Top Head</t>
        </is>
      </c>
      <c r="F61" s="40" t="inlineStr">
        <is>
          <t>Brine</t>
        </is>
      </c>
      <c r="G61" s="41" t="inlineStr">
        <is>
          <t>Liquid</t>
        </is>
      </c>
      <c r="H61" s="120" t="n"/>
      <c r="I61" s="40" t="inlineStr">
        <is>
          <t>Carbon Steel</t>
        </is>
      </c>
      <c r="J61" s="40" t="inlineStr">
        <is>
          <t>JIS G3101</t>
        </is>
      </c>
      <c r="K61" s="40" t="inlineStr">
        <is>
          <t>SS 400</t>
        </is>
      </c>
      <c r="L61" s="40" t="inlineStr">
        <is>
          <t>4mm Hard 
Rubber Lining</t>
        </is>
      </c>
      <c r="M61" s="41" t="n">
        <v>70</v>
      </c>
      <c r="N61" s="43" t="n">
        <v>5.88</v>
      </c>
      <c r="O61" s="41" t="n">
        <v>60</v>
      </c>
      <c r="P61" s="43" t="n">
        <v>4.41</v>
      </c>
      <c r="Q61" s="43" t="n">
        <v>1424</v>
      </c>
      <c r="R61" s="41" t="n">
        <v>12</v>
      </c>
      <c r="S61" s="41" t="n">
        <v>12</v>
      </c>
      <c r="T61" s="41" t="n">
        <v>5.16</v>
      </c>
      <c r="U61" s="47" t="n">
        <v>12</v>
      </c>
      <c r="V61" s="44" t="n">
        <v>43344</v>
      </c>
      <c r="W61" s="41" t="n">
        <v>11.42</v>
      </c>
      <c r="X61" s="45" t="n">
        <v>44013</v>
      </c>
      <c r="Y61" s="41" t="n">
        <v>11.26</v>
      </c>
      <c r="Z61" s="45" t="n">
        <v>44378</v>
      </c>
      <c r="AA61" s="46">
        <f>IF(((W61-Y61)/1)&gt;0,(W61-Y61)/1,0.035)</f>
        <v/>
      </c>
      <c r="AB61" s="46">
        <f>IF(((U61-Y61)/2.83)&gt;0,(U61-Y61)/2.83,0.035)</f>
        <v/>
      </c>
      <c r="AC61" s="47">
        <f>MAX(AA61,AB61)</f>
        <v/>
      </c>
      <c r="AD61" s="47" t="inlineStr">
        <is>
          <t>STCR</t>
        </is>
      </c>
      <c r="AE61" s="43">
        <f>(Y61-T61)/AC61</f>
        <v/>
      </c>
      <c r="AF61" s="53" t="n">
        <v>35247</v>
      </c>
      <c r="AG61" s="49" t="n">
        <v>22.1683778234086</v>
      </c>
      <c r="AH61" s="1" t="n"/>
    </row>
    <row r="62" ht="48" customHeight="1" s="101">
      <c r="A62" s="119" t="n"/>
      <c r="B62" s="119" t="n"/>
      <c r="C62" s="119" t="n"/>
      <c r="D62" s="119" t="n"/>
      <c r="E62" s="40" t="inlineStr">
        <is>
          <t>Bottom Head</t>
        </is>
      </c>
      <c r="F62" s="40" t="inlineStr">
        <is>
          <t>Brine</t>
        </is>
      </c>
      <c r="G62" s="41" t="inlineStr">
        <is>
          <t>Liquid</t>
        </is>
      </c>
      <c r="H62" s="119" t="n"/>
      <c r="I62" s="40" t="inlineStr">
        <is>
          <t>Carbon Steel</t>
        </is>
      </c>
      <c r="J62" s="40" t="inlineStr">
        <is>
          <t>JIS G3101</t>
        </is>
      </c>
      <c r="K62" s="40" t="inlineStr">
        <is>
          <t>SS 400</t>
        </is>
      </c>
      <c r="L62" s="40" t="inlineStr">
        <is>
          <t>4mm Hard 
Rubber Lining</t>
        </is>
      </c>
      <c r="M62" s="41" t="n">
        <v>70</v>
      </c>
      <c r="N62" s="43" t="n">
        <v>5.88</v>
      </c>
      <c r="O62" s="41" t="n">
        <v>60</v>
      </c>
      <c r="P62" s="43" t="n">
        <v>4.41</v>
      </c>
      <c r="Q62" s="43" t="n">
        <v>1424</v>
      </c>
      <c r="R62" s="41" t="n">
        <v>12</v>
      </c>
      <c r="S62" s="41" t="n">
        <v>12</v>
      </c>
      <c r="T62" s="41" t="n">
        <v>5.16</v>
      </c>
      <c r="U62" s="41" t="n">
        <v>12.14</v>
      </c>
      <c r="V62" s="44" t="n">
        <v>43344</v>
      </c>
      <c r="W62" s="41" t="n">
        <v>11.87</v>
      </c>
      <c r="X62" s="45" t="n">
        <v>44013</v>
      </c>
      <c r="Y62" s="41" t="n">
        <v>11.68</v>
      </c>
      <c r="Z62" s="45" t="n">
        <v>44378</v>
      </c>
      <c r="AA62" s="46">
        <f>IF(((W62-Y62)/1)&gt;0,(W62-Y62)/1,0.035)</f>
        <v/>
      </c>
      <c r="AB62" s="46">
        <f>IF(((U62-Y62)/2.83)&gt;0,(U62-Y62)/2.83,0.035)</f>
        <v/>
      </c>
      <c r="AC62" s="47">
        <f>MAX(AA62,AB62)</f>
        <v/>
      </c>
      <c r="AD62" s="47" t="inlineStr">
        <is>
          <t>STCR</t>
        </is>
      </c>
      <c r="AE62" s="43">
        <f>(Y62-T62)/AC62</f>
        <v/>
      </c>
      <c r="AF62" s="53" t="n">
        <v>35247</v>
      </c>
      <c r="AG62" s="49" t="n">
        <v>22.1683778234086</v>
      </c>
      <c r="AH62" s="1" t="n"/>
    </row>
    <row r="63" ht="48" customHeight="1" s="101">
      <c r="A63" s="54" t="n">
        <v>24</v>
      </c>
      <c r="B63" s="55" t="inlineStr">
        <is>
          <t>F140B</t>
        </is>
      </c>
      <c r="C63" s="55" t="inlineStr">
        <is>
          <t>PMT 94016</t>
        </is>
      </c>
      <c r="D63" s="122" t="inlineStr">
        <is>
          <t>Brine Filter B</t>
        </is>
      </c>
      <c r="E63" s="40" t="inlineStr">
        <is>
          <t>Shell</t>
        </is>
      </c>
      <c r="F63" s="40" t="inlineStr">
        <is>
          <t>Brine</t>
        </is>
      </c>
      <c r="G63" s="41" t="inlineStr">
        <is>
          <t>Liquid</t>
        </is>
      </c>
      <c r="H63" s="40" t="inlineStr">
        <is>
          <t>ASME Section VIII Div. 1 1995 ED</t>
        </is>
      </c>
      <c r="I63" s="40" t="inlineStr">
        <is>
          <t>Carbon Steel</t>
        </is>
      </c>
      <c r="J63" s="40" t="inlineStr">
        <is>
          <t>JIS G3101</t>
        </is>
      </c>
      <c r="K63" s="40" t="inlineStr">
        <is>
          <t>SS 400</t>
        </is>
      </c>
      <c r="L63" s="40" t="inlineStr">
        <is>
          <t>4mm Hard 
Rubber Lining</t>
        </is>
      </c>
      <c r="M63" s="41" t="n">
        <v>70</v>
      </c>
      <c r="N63" s="43" t="n">
        <v>5.88</v>
      </c>
      <c r="O63" s="41" t="n">
        <v>60</v>
      </c>
      <c r="P63" s="43" t="n">
        <v>4.41</v>
      </c>
      <c r="Q63" s="43" t="n">
        <v>1418</v>
      </c>
      <c r="R63" s="41" t="n">
        <v>9</v>
      </c>
      <c r="S63" s="41" t="n">
        <v>9</v>
      </c>
      <c r="T63" s="41" t="n">
        <v>5.18</v>
      </c>
      <c r="U63" s="41" t="n">
        <v>8.74</v>
      </c>
      <c r="V63" s="44" t="n">
        <v>43344</v>
      </c>
      <c r="W63" s="41" t="n">
        <v>8.6</v>
      </c>
      <c r="X63" s="45" t="n">
        <v>44013</v>
      </c>
      <c r="Y63" s="41" t="n">
        <v>8.609999999999999</v>
      </c>
      <c r="Z63" s="45" t="n">
        <v>44378</v>
      </c>
      <c r="AA63" s="46">
        <f>IF(((W63-Y63)/1)&gt;0,(W63-Y63)/1,0.035)</f>
        <v/>
      </c>
      <c r="AB63" s="46">
        <f>IF(((U63-Y63)/2.83)&gt;0,(U63-Y63)/2.83,0.035)</f>
        <v/>
      </c>
      <c r="AC63" s="47">
        <f>MAX(AA63,AB63)</f>
        <v/>
      </c>
      <c r="AD63" s="47" t="inlineStr">
        <is>
          <t>STCR</t>
        </is>
      </c>
      <c r="AE63" s="43">
        <f>(Y63-T63)/AC63</f>
        <v/>
      </c>
      <c r="AF63" s="53" t="n">
        <v>35247</v>
      </c>
      <c r="AG63" s="49" t="n">
        <v>22.1683778234086</v>
      </c>
      <c r="AH63" s="1" t="n"/>
    </row>
    <row r="64" ht="48" customHeight="1" s="101">
      <c r="A64" s="120" t="n"/>
      <c r="B64" s="120" t="n"/>
      <c r="C64" s="120" t="n"/>
      <c r="D64" s="120" t="n"/>
      <c r="E64" s="40" t="inlineStr">
        <is>
          <t>Top Head</t>
        </is>
      </c>
      <c r="F64" s="40" t="inlineStr">
        <is>
          <t>Brine</t>
        </is>
      </c>
      <c r="G64" s="41" t="inlineStr">
        <is>
          <t>Liquid</t>
        </is>
      </c>
      <c r="H64" s="120" t="n"/>
      <c r="I64" s="40" t="inlineStr">
        <is>
          <t>Carbon Steel</t>
        </is>
      </c>
      <c r="J64" s="40" t="inlineStr">
        <is>
          <t>JIS G3101</t>
        </is>
      </c>
      <c r="K64" s="40" t="inlineStr">
        <is>
          <t>SS 400</t>
        </is>
      </c>
      <c r="L64" s="40" t="inlineStr">
        <is>
          <t>4mm Hard 
Rubber Lining</t>
        </is>
      </c>
      <c r="M64" s="41" t="n">
        <v>70</v>
      </c>
      <c r="N64" s="43" t="n">
        <v>5.88</v>
      </c>
      <c r="O64" s="41" t="n">
        <v>60</v>
      </c>
      <c r="P64" s="43" t="n">
        <v>4.41</v>
      </c>
      <c r="Q64" s="43" t="n">
        <v>1424</v>
      </c>
      <c r="R64" s="41" t="n">
        <v>12</v>
      </c>
      <c r="S64" s="41" t="n">
        <v>12</v>
      </c>
      <c r="T64" s="41" t="n">
        <v>5.16</v>
      </c>
      <c r="U64" s="41" t="n">
        <v>12.09</v>
      </c>
      <c r="V64" s="44" t="n">
        <v>43344</v>
      </c>
      <c r="W64" s="47" t="n">
        <v>11.28</v>
      </c>
      <c r="X64" s="45" t="n">
        <v>44013</v>
      </c>
      <c r="Y64" s="41" t="n">
        <v>11.28</v>
      </c>
      <c r="Z64" s="45" t="n">
        <v>44378</v>
      </c>
      <c r="AA64" s="46">
        <f>IF(((W64-Y64)/1)&gt;0,(W64-Y64)/1,0.035)</f>
        <v/>
      </c>
      <c r="AB64" s="46">
        <f>IF(((U64-Y64)/2.83)&gt;0,(U64-Y64)/2.83,0.035)</f>
        <v/>
      </c>
      <c r="AC64" s="47">
        <f>MAX(AA64,AB64)</f>
        <v/>
      </c>
      <c r="AD64" s="47" t="inlineStr">
        <is>
          <t>STCR</t>
        </is>
      </c>
      <c r="AE64" s="43">
        <f>(Y64-T64)/AC64</f>
        <v/>
      </c>
      <c r="AF64" s="53" t="n">
        <v>35247</v>
      </c>
      <c r="AG64" s="49" t="n">
        <v>22.1683778234086</v>
      </c>
      <c r="AH64" s="1" t="n"/>
    </row>
    <row r="65" ht="48" customHeight="1" s="101">
      <c r="A65" s="119" t="n"/>
      <c r="B65" s="119" t="n"/>
      <c r="C65" s="119" t="n"/>
      <c r="D65" s="119" t="n"/>
      <c r="E65" s="40" t="inlineStr">
        <is>
          <t>Bottom Head</t>
        </is>
      </c>
      <c r="F65" s="40" t="inlineStr">
        <is>
          <t>Brine</t>
        </is>
      </c>
      <c r="G65" s="41" t="inlineStr">
        <is>
          <t>Liquid</t>
        </is>
      </c>
      <c r="H65" s="119" t="n"/>
      <c r="I65" s="40" t="inlineStr">
        <is>
          <t>Carbon Steel</t>
        </is>
      </c>
      <c r="J65" s="40" t="inlineStr">
        <is>
          <t>JIS G3101</t>
        </is>
      </c>
      <c r="K65" s="40" t="inlineStr">
        <is>
          <t>SS 400</t>
        </is>
      </c>
      <c r="L65" s="40" t="inlineStr">
        <is>
          <t>4mm Hard 
Rubber Lining</t>
        </is>
      </c>
      <c r="M65" s="41" t="n">
        <v>70</v>
      </c>
      <c r="N65" s="43" t="n">
        <v>5.88</v>
      </c>
      <c r="O65" s="41" t="n">
        <v>60</v>
      </c>
      <c r="P65" s="43" t="n">
        <v>4.41</v>
      </c>
      <c r="Q65" s="43" t="n">
        <v>1424</v>
      </c>
      <c r="R65" s="41" t="n">
        <v>12</v>
      </c>
      <c r="S65" s="41" t="n">
        <v>12</v>
      </c>
      <c r="T65" s="41" t="n">
        <v>5.16</v>
      </c>
      <c r="U65" s="41" t="n">
        <v>12.14</v>
      </c>
      <c r="V65" s="44" t="n">
        <v>43344</v>
      </c>
      <c r="W65" s="41" t="n">
        <v>12.12</v>
      </c>
      <c r="X65" s="45" t="n">
        <v>44013</v>
      </c>
      <c r="Y65" s="41" t="n">
        <v>11.8</v>
      </c>
      <c r="Z65" s="45" t="n">
        <v>44378</v>
      </c>
      <c r="AA65" s="46">
        <f>IF(((W65-Y65)/1)&gt;0,(W65-Y65)/1,0.035)</f>
        <v/>
      </c>
      <c r="AB65" s="46">
        <f>IF(((U65-Y65)/2.83)&gt;0,(U65-Y65)/2.83,0.035)</f>
        <v/>
      </c>
      <c r="AC65" s="47">
        <f>MAX(AA65,AB65)</f>
        <v/>
      </c>
      <c r="AD65" s="47" t="inlineStr">
        <is>
          <t>STCR</t>
        </is>
      </c>
      <c r="AE65" s="43">
        <f>(Y65-T65)/AC65</f>
        <v/>
      </c>
      <c r="AF65" s="53" t="n">
        <v>35247</v>
      </c>
      <c r="AG65" s="49" t="n">
        <v>22.1683778234086</v>
      </c>
      <c r="AH65" s="1" t="n"/>
    </row>
    <row r="66" ht="48" customHeight="1" s="101">
      <c r="A66" s="54" t="n">
        <v>25</v>
      </c>
      <c r="B66" s="55" t="inlineStr">
        <is>
          <t>D961</t>
        </is>
      </c>
      <c r="C66" s="55" t="inlineStr">
        <is>
          <t>PMT 94013</t>
        </is>
      </c>
      <c r="D66" s="122" t="inlineStr">
        <is>
          <t>AI  Accumulator</t>
        </is>
      </c>
      <c r="E66" s="40" t="inlineStr">
        <is>
          <t>Shell</t>
        </is>
      </c>
      <c r="F66" s="40" t="inlineStr">
        <is>
          <t>Instrument Air</t>
        </is>
      </c>
      <c r="G66" s="41" t="inlineStr">
        <is>
          <t>Gas</t>
        </is>
      </c>
      <c r="H66" s="40" t="inlineStr">
        <is>
          <t>ASME Section VIII Div. 1 1995 ED</t>
        </is>
      </c>
      <c r="I66" s="40" t="inlineStr">
        <is>
          <t>Carbon Steel</t>
        </is>
      </c>
      <c r="J66" s="40" t="inlineStr">
        <is>
          <t>SA-516M</t>
        </is>
      </c>
      <c r="K66" s="40" t="inlineStr">
        <is>
          <t>Grade: 485</t>
        </is>
      </c>
      <c r="L66" s="40" t="inlineStr">
        <is>
          <t xml:space="preserve"> -</t>
        </is>
      </c>
      <c r="M66" s="41" t="n">
        <v>70</v>
      </c>
      <c r="N66" s="43" t="n">
        <v>6.86</v>
      </c>
      <c r="O66" s="41" t="n">
        <v>50</v>
      </c>
      <c r="P66" s="43" t="n">
        <v>4.9</v>
      </c>
      <c r="Q66" s="43" t="n">
        <v>1925.4</v>
      </c>
      <c r="R66" s="41" t="n">
        <v>12.7</v>
      </c>
      <c r="S66" s="41" t="n">
        <v>12.7</v>
      </c>
      <c r="T66" s="41" t="n">
        <v>6.78</v>
      </c>
      <c r="U66" s="41" t="n">
        <v>13.21</v>
      </c>
      <c r="V66" s="44" t="n">
        <v>43344</v>
      </c>
      <c r="W66" s="41" t="n">
        <v>12.67</v>
      </c>
      <c r="X66" s="45" t="n">
        <v>44013</v>
      </c>
      <c r="Y66" s="41" t="n">
        <v>12.45</v>
      </c>
      <c r="Z66" s="45" t="n">
        <v>44378</v>
      </c>
      <c r="AA66" s="46">
        <f>IF(((W66-Y66)/1)&gt;0,(W66-Y66)/1,0.035)</f>
        <v/>
      </c>
      <c r="AB66" s="46">
        <f>IF(((U66-Y66)/2.83)&gt;0,(U66-Y66)/2.83,0.035)</f>
        <v/>
      </c>
      <c r="AC66" s="47">
        <f>MAX(AA66,AB66)</f>
        <v/>
      </c>
      <c r="AD66" s="47" t="inlineStr">
        <is>
          <t>LTCR</t>
        </is>
      </c>
      <c r="AE66" s="43">
        <f>(Y66-T66)/AC66</f>
        <v/>
      </c>
      <c r="AF66" s="53" t="n">
        <v>35217</v>
      </c>
      <c r="AG66" s="49" t="n">
        <v>22.2505133470226</v>
      </c>
      <c r="AH66" s="1" t="n"/>
    </row>
    <row r="67" ht="48" customHeight="1" s="101">
      <c r="A67" s="120" t="n"/>
      <c r="B67" s="120" t="n"/>
      <c r="C67" s="120" t="n"/>
      <c r="D67" s="120" t="n"/>
      <c r="E67" s="40" t="inlineStr">
        <is>
          <t>Top Head</t>
        </is>
      </c>
      <c r="F67" s="40" t="inlineStr">
        <is>
          <t>Instrument Air</t>
        </is>
      </c>
      <c r="G67" s="41" t="inlineStr">
        <is>
          <t>Gas</t>
        </is>
      </c>
      <c r="H67" s="120" t="n"/>
      <c r="I67" s="40" t="inlineStr">
        <is>
          <t>Carbon Steel</t>
        </is>
      </c>
      <c r="J67" s="40" t="inlineStr">
        <is>
          <t>SA-516M</t>
        </is>
      </c>
      <c r="K67" s="40" t="inlineStr">
        <is>
          <t>Grade: 485</t>
        </is>
      </c>
      <c r="L67" s="40" t="inlineStr">
        <is>
          <t xml:space="preserve"> -</t>
        </is>
      </c>
      <c r="M67" s="41" t="n">
        <v>70</v>
      </c>
      <c r="N67" s="43" t="n">
        <v>6.86</v>
      </c>
      <c r="O67" s="41" t="n">
        <v>50</v>
      </c>
      <c r="P67" s="43" t="n">
        <v>4.9</v>
      </c>
      <c r="Q67" s="43" t="n">
        <v>1925.4</v>
      </c>
      <c r="R67" s="41" t="n">
        <v>12.7</v>
      </c>
      <c r="S67" s="41" t="n">
        <v>12.7</v>
      </c>
      <c r="T67" s="41" t="n">
        <v>4.72</v>
      </c>
      <c r="U67" s="41" t="n">
        <v>11.11</v>
      </c>
      <c r="V67" s="44" t="n">
        <v>43344</v>
      </c>
      <c r="W67" s="41" t="n">
        <v>11.15</v>
      </c>
      <c r="X67" s="45" t="n">
        <v>44013</v>
      </c>
      <c r="Y67" s="41" t="n">
        <v>11.47</v>
      </c>
      <c r="Z67" s="45" t="n">
        <v>44378</v>
      </c>
      <c r="AA67" s="46">
        <f>IF(((W67-Y67)/1)&gt;0,(W67-Y67)/1,0.035)</f>
        <v/>
      </c>
      <c r="AB67" s="46">
        <f>IF(((U67-Y67)/2.83)&gt;0,(U67-Y67)/2.83,0.035)</f>
        <v/>
      </c>
      <c r="AC67" s="47">
        <f>MAX(AA67,AB67)</f>
        <v/>
      </c>
      <c r="AD67" s="47" t="inlineStr">
        <is>
          <t>LTCR</t>
        </is>
      </c>
      <c r="AE67" s="43">
        <f>(Y67-T67)/AC67</f>
        <v/>
      </c>
      <c r="AF67" s="53" t="n">
        <v>35217</v>
      </c>
      <c r="AG67" s="49" t="n">
        <v>22.2505133470226</v>
      </c>
      <c r="AH67" s="1" t="n"/>
    </row>
    <row r="68" ht="48" customHeight="1" s="101">
      <c r="A68" s="119" t="n"/>
      <c r="B68" s="119" t="n"/>
      <c r="C68" s="119" t="n"/>
      <c r="D68" s="119" t="n"/>
      <c r="E68" s="40" t="inlineStr">
        <is>
          <t>Bottom Head</t>
        </is>
      </c>
      <c r="F68" s="40" t="inlineStr">
        <is>
          <t>Instrument Air</t>
        </is>
      </c>
      <c r="G68" s="41" t="inlineStr">
        <is>
          <t>Gas</t>
        </is>
      </c>
      <c r="H68" s="119" t="n"/>
      <c r="I68" s="40" t="inlineStr">
        <is>
          <t>Carbon Steel</t>
        </is>
      </c>
      <c r="J68" s="40" t="inlineStr">
        <is>
          <t>SA-516M</t>
        </is>
      </c>
      <c r="K68" s="40" t="inlineStr">
        <is>
          <t>Grade: 485</t>
        </is>
      </c>
      <c r="L68" s="40" t="inlineStr">
        <is>
          <t xml:space="preserve"> -</t>
        </is>
      </c>
      <c r="M68" s="41" t="n">
        <v>70</v>
      </c>
      <c r="N68" s="43" t="n">
        <v>6.86</v>
      </c>
      <c r="O68" s="41" t="n">
        <v>50</v>
      </c>
      <c r="P68" s="43" t="n">
        <v>4.9</v>
      </c>
      <c r="Q68" s="43" t="n">
        <v>1925.4</v>
      </c>
      <c r="R68" s="41" t="n">
        <v>12.7</v>
      </c>
      <c r="S68" s="41" t="n">
        <v>12.7</v>
      </c>
      <c r="T68" s="41" t="n">
        <v>4.72</v>
      </c>
      <c r="U68" s="41" t="n">
        <v>13.21</v>
      </c>
      <c r="V68" s="44" t="n">
        <v>43344</v>
      </c>
      <c r="W68" s="41" t="n">
        <v>12.71</v>
      </c>
      <c r="X68" s="45" t="n">
        <v>44013</v>
      </c>
      <c r="Y68" s="41" t="n">
        <v>12.74</v>
      </c>
      <c r="Z68" s="45" t="n">
        <v>44378</v>
      </c>
      <c r="AA68" s="46">
        <f>IF(((W68-Y68)/1)&gt;0,(W68-Y68)/1,0.035)</f>
        <v/>
      </c>
      <c r="AB68" s="46">
        <f>IF(((U68-Y68)/2.83)&gt;0,(U68-Y68)/2.83,0.035)</f>
        <v/>
      </c>
      <c r="AC68" s="47">
        <f>MAX(AA68,AB68)</f>
        <v/>
      </c>
      <c r="AD68" s="47" t="inlineStr">
        <is>
          <t>STCR</t>
        </is>
      </c>
      <c r="AE68" s="43">
        <f>(Y68-T68)/AC68</f>
        <v/>
      </c>
      <c r="AF68" s="53" t="n">
        <v>35217</v>
      </c>
      <c r="AG68" s="49" t="n">
        <v>22.2505133470226</v>
      </c>
      <c r="AH68" s="1" t="n"/>
    </row>
    <row r="69" ht="48" customHeight="1" s="101">
      <c r="A69" s="54" t="n">
        <v>26</v>
      </c>
      <c r="B69" s="55" t="inlineStr">
        <is>
          <t>D-966</t>
        </is>
      </c>
      <c r="C69" s="55" t="inlineStr">
        <is>
          <t>JH PMT 30734</t>
        </is>
      </c>
      <c r="D69" s="122" t="inlineStr">
        <is>
          <t>Padding Air Receiver</t>
        </is>
      </c>
      <c r="E69" s="40" t="inlineStr">
        <is>
          <t>Shell</t>
        </is>
      </c>
      <c r="F69" s="40" t="inlineStr">
        <is>
          <t>Air</t>
        </is>
      </c>
      <c r="G69" s="41" t="inlineStr">
        <is>
          <t>Gas</t>
        </is>
      </c>
      <c r="H69" s="40" t="inlineStr">
        <is>
          <t>ASME Section VIII Div. 1 2015 ED</t>
        </is>
      </c>
      <c r="I69" s="40" t="inlineStr">
        <is>
          <t>Carbon Steel</t>
        </is>
      </c>
      <c r="J69" s="40" t="inlineStr">
        <is>
          <t>JIS G3101</t>
        </is>
      </c>
      <c r="K69" s="40" t="inlineStr">
        <is>
          <t>SS 400</t>
        </is>
      </c>
      <c r="L69" s="40" t="inlineStr">
        <is>
          <t xml:space="preserve"> -</t>
        </is>
      </c>
      <c r="M69" s="41" t="n">
        <v>100</v>
      </c>
      <c r="N69" s="43" t="n">
        <v>11</v>
      </c>
      <c r="O69" s="41" t="n">
        <v>80</v>
      </c>
      <c r="P69" s="43" t="n">
        <v>10.33</v>
      </c>
      <c r="Q69" s="43" t="n">
        <v>1681.6</v>
      </c>
      <c r="R69" s="41" t="n">
        <v>15.8</v>
      </c>
      <c r="S69" s="41" t="n">
        <v>15.8</v>
      </c>
      <c r="T69" s="41" t="n">
        <v>11.46</v>
      </c>
      <c r="U69" s="41" t="n">
        <v>15.6</v>
      </c>
      <c r="V69" s="44" t="n">
        <v>43344</v>
      </c>
      <c r="W69" s="41" t="n">
        <v>15.58</v>
      </c>
      <c r="X69" s="45" t="n">
        <v>44013</v>
      </c>
      <c r="Y69" s="41" t="n">
        <v>15.83</v>
      </c>
      <c r="Z69" s="45" t="n">
        <v>44378</v>
      </c>
      <c r="AA69" s="46">
        <f>IF(((W69-Y69)/1)&gt;0,(W69-Y69)/1,0.035)</f>
        <v/>
      </c>
      <c r="AB69" s="46">
        <f>IF(((U69-Y69)/2.83)&gt;0,(U69-Y69)/2.83,0.035)</f>
        <v/>
      </c>
      <c r="AC69" s="47">
        <f>MAX(AA69,AB69)</f>
        <v/>
      </c>
      <c r="AD69" s="47" t="inlineStr">
        <is>
          <t>LTCR</t>
        </is>
      </c>
      <c r="AE69" s="43">
        <f>(Y69-T69)/AC69</f>
        <v/>
      </c>
      <c r="AF69" s="53" t="n">
        <v>42705</v>
      </c>
      <c r="AG69" s="49" t="n">
        <v>1.74948665297741</v>
      </c>
      <c r="AH69" s="1" t="n"/>
    </row>
    <row r="70" ht="48" customHeight="1" s="101">
      <c r="A70" s="120" t="n"/>
      <c r="B70" s="120" t="n"/>
      <c r="C70" s="120" t="n"/>
      <c r="D70" s="120" t="n"/>
      <c r="E70" s="40" t="inlineStr">
        <is>
          <t>Top Head</t>
        </is>
      </c>
      <c r="F70" s="40" t="inlineStr">
        <is>
          <t>Air</t>
        </is>
      </c>
      <c r="G70" s="41" t="inlineStr">
        <is>
          <t>Gas</t>
        </is>
      </c>
      <c r="H70" s="120" t="n"/>
      <c r="I70" s="40" t="inlineStr">
        <is>
          <t>Carbon Steel</t>
        </is>
      </c>
      <c r="J70" s="40" t="inlineStr">
        <is>
          <t>JIS G3101</t>
        </is>
      </c>
      <c r="K70" s="40" t="inlineStr">
        <is>
          <t>SS 400</t>
        </is>
      </c>
      <c r="L70" s="40" t="inlineStr">
        <is>
          <t xml:space="preserve"> -</t>
        </is>
      </c>
      <c r="M70" s="41" t="n">
        <v>100</v>
      </c>
      <c r="N70" s="43" t="n">
        <v>11</v>
      </c>
      <c r="O70" s="41" t="n">
        <v>80</v>
      </c>
      <c r="P70" s="43" t="n">
        <v>10.33</v>
      </c>
      <c r="Q70" s="43" t="n">
        <v>1681.6</v>
      </c>
      <c r="R70" s="41" t="n">
        <v>15.8</v>
      </c>
      <c r="S70" s="41" t="n">
        <v>15.8</v>
      </c>
      <c r="T70" s="41" t="n">
        <v>11.39</v>
      </c>
      <c r="U70" s="41" t="n">
        <v>14</v>
      </c>
      <c r="V70" s="44" t="n">
        <v>43344</v>
      </c>
      <c r="W70" s="41" t="n">
        <v>14.09</v>
      </c>
      <c r="X70" s="45" t="n">
        <v>44013</v>
      </c>
      <c r="Y70" s="41" t="n">
        <v>13.95</v>
      </c>
      <c r="Z70" s="45" t="n">
        <v>44378</v>
      </c>
      <c r="AA70" s="46">
        <f>IF(((W70-Y70)/1)&gt;0,(W70-Y70)/1,0.035)</f>
        <v/>
      </c>
      <c r="AB70" s="46">
        <f>IF(((U70-Y70)/2.83)&gt;0,(U70-Y70)/2.83,0.035)</f>
        <v/>
      </c>
      <c r="AC70" s="47">
        <f>MAX(AA70,AB70)</f>
        <v/>
      </c>
      <c r="AD70" s="47" t="inlineStr">
        <is>
          <t>LTCR</t>
        </is>
      </c>
      <c r="AE70" s="43">
        <f>(Y70-T70)/AC70</f>
        <v/>
      </c>
      <c r="AF70" s="53" t="n">
        <v>42705</v>
      </c>
      <c r="AG70" s="49" t="n">
        <v>1.74948665297741</v>
      </c>
      <c r="AH70" s="1" t="n"/>
    </row>
    <row r="71" ht="48" customHeight="1" s="101">
      <c r="A71" s="119" t="n"/>
      <c r="B71" s="119" t="n"/>
      <c r="C71" s="119" t="n"/>
      <c r="D71" s="119" t="n"/>
      <c r="E71" s="40" t="inlineStr">
        <is>
          <t>Bottom Head</t>
        </is>
      </c>
      <c r="F71" s="40" t="inlineStr">
        <is>
          <t>Air</t>
        </is>
      </c>
      <c r="G71" s="41" t="inlineStr">
        <is>
          <t>Gas</t>
        </is>
      </c>
      <c r="H71" s="119" t="n"/>
      <c r="I71" s="40" t="inlineStr">
        <is>
          <t>Carbon Steel</t>
        </is>
      </c>
      <c r="J71" s="40" t="inlineStr">
        <is>
          <t>JIS G3101</t>
        </is>
      </c>
      <c r="K71" s="40" t="inlineStr">
        <is>
          <t>SS 400</t>
        </is>
      </c>
      <c r="L71" s="40" t="inlineStr">
        <is>
          <t xml:space="preserve"> -</t>
        </is>
      </c>
      <c r="M71" s="41" t="n">
        <v>100</v>
      </c>
      <c r="N71" s="43" t="n">
        <v>11</v>
      </c>
      <c r="O71" s="41" t="n">
        <v>80</v>
      </c>
      <c r="P71" s="43" t="n">
        <v>10.33</v>
      </c>
      <c r="Q71" s="43" t="n">
        <v>1681.6</v>
      </c>
      <c r="R71" s="41" t="n">
        <v>15.8</v>
      </c>
      <c r="S71" s="41" t="n">
        <v>15.8</v>
      </c>
      <c r="T71" s="41" t="n">
        <v>11.39</v>
      </c>
      <c r="U71" s="41" t="n">
        <v>14.51</v>
      </c>
      <c r="V71" s="44" t="n">
        <v>43344</v>
      </c>
      <c r="W71" s="41" t="n">
        <v>14.15</v>
      </c>
      <c r="X71" s="45" t="n">
        <v>44013</v>
      </c>
      <c r="Y71" s="41" t="n">
        <v>14.21</v>
      </c>
      <c r="Z71" s="45" t="n">
        <v>44378</v>
      </c>
      <c r="AA71" s="46">
        <f>IF(((W71-Y71)/1)&gt;0,(W71-Y71)/1,0.035)</f>
        <v/>
      </c>
      <c r="AB71" s="46">
        <f>IF(((U71-Y71)/2.83)&gt;0,(U71-Y71)/2.83,0.035)</f>
        <v/>
      </c>
      <c r="AC71" s="47">
        <f>MAX(AA71,AB71)</f>
        <v/>
      </c>
      <c r="AD71" s="47" t="inlineStr">
        <is>
          <t>STCR</t>
        </is>
      </c>
      <c r="AE71" s="43">
        <f>(Y71-T71)/AC71</f>
        <v/>
      </c>
      <c r="AF71" s="53" t="n">
        <v>42705</v>
      </c>
      <c r="AG71" s="49" t="n">
        <v>1.74948665297741</v>
      </c>
      <c r="AH71" s="1" t="n"/>
    </row>
    <row r="72" ht="48" customHeight="1" s="101">
      <c r="A72" s="54" t="n">
        <v>27</v>
      </c>
      <c r="B72" s="124" t="inlineStr">
        <is>
          <t>T-160A</t>
        </is>
      </c>
      <c r="C72" s="72" t="n"/>
      <c r="D72" s="65" t="n"/>
      <c r="E72" s="40" t="n"/>
      <c r="F72" s="40" t="n"/>
      <c r="G72" s="41" t="n"/>
      <c r="H72" s="40" t="n"/>
      <c r="I72" s="40" t="n"/>
      <c r="J72" s="40" t="n"/>
      <c r="K72" s="40" t="n"/>
      <c r="L72" s="40" t="n"/>
      <c r="M72" s="41" t="n"/>
      <c r="N72" s="43" t="n"/>
      <c r="O72" s="41" t="n"/>
      <c r="P72" s="43" t="n"/>
      <c r="Q72" s="43" t="n"/>
      <c r="R72" s="41" t="n"/>
      <c r="S72" s="41" t="n"/>
      <c r="T72" s="41" t="n"/>
      <c r="U72" s="41" t="n"/>
      <c r="V72" s="44" t="n"/>
      <c r="W72" s="41" t="n"/>
      <c r="X72" s="45" t="n"/>
      <c r="Y72" s="41" t="n"/>
      <c r="Z72" s="45" t="n"/>
      <c r="AA72" s="46" t="n"/>
      <c r="AB72" s="46" t="n"/>
      <c r="AC72" s="47" t="n"/>
      <c r="AD72" s="47" t="n"/>
      <c r="AE72" s="43" t="n"/>
      <c r="AF72" s="53" t="n"/>
      <c r="AG72" s="49" t="n"/>
      <c r="AH72" s="1" t="n"/>
    </row>
    <row r="73" ht="48" customHeight="1" s="101">
      <c r="A73" s="120" t="n"/>
      <c r="B73" s="120" t="n"/>
      <c r="C73" s="72" t="inlineStr">
        <is>
          <t>JH PMT 82652</t>
        </is>
      </c>
      <c r="D73" s="65" t="inlineStr">
        <is>
          <t>Secondary Brine Purification</t>
        </is>
      </c>
      <c r="E73" s="40" t="n"/>
      <c r="F73" s="40" t="n"/>
      <c r="G73" s="41" t="n"/>
      <c r="H73" s="40" t="n"/>
      <c r="I73" s="40" t="n"/>
      <c r="J73" s="40" t="n"/>
      <c r="K73" s="40" t="n"/>
      <c r="L73" s="40" t="n"/>
      <c r="M73" s="41" t="n"/>
      <c r="N73" s="43" t="n"/>
      <c r="O73" s="41" t="n"/>
      <c r="P73" s="43" t="n"/>
      <c r="Q73" s="43" t="n"/>
      <c r="R73" s="41" t="n"/>
      <c r="S73" s="41" t="n"/>
      <c r="T73" s="41" t="n"/>
      <c r="U73" s="41" t="n"/>
      <c r="V73" s="44" t="n"/>
      <c r="W73" s="41" t="n"/>
      <c r="X73" s="45" t="n"/>
      <c r="Y73" s="41" t="n"/>
      <c r="Z73" s="45" t="n"/>
      <c r="AA73" s="46" t="n"/>
      <c r="AB73" s="46" t="n"/>
      <c r="AC73" s="47" t="n"/>
      <c r="AD73" s="47" t="n"/>
      <c r="AE73" s="43" t="n"/>
      <c r="AF73" s="53" t="n"/>
      <c r="AG73" s="49" t="n"/>
      <c r="AH73" s="1" t="n"/>
    </row>
    <row r="74" ht="48" customHeight="1" s="101">
      <c r="A74" s="119" t="n"/>
      <c r="B74" s="119" t="n"/>
      <c r="C74" s="72" t="n"/>
      <c r="D74" s="65" t="n"/>
      <c r="E74" s="40" t="n"/>
      <c r="F74" s="40" t="n"/>
      <c r="G74" s="41" t="n"/>
      <c r="H74" s="40" t="n"/>
      <c r="I74" s="40" t="n"/>
      <c r="J74" s="40" t="n"/>
      <c r="K74" s="40" t="n"/>
      <c r="L74" s="40" t="n"/>
      <c r="M74" s="41" t="n"/>
      <c r="N74" s="43" t="n"/>
      <c r="O74" s="41" t="n"/>
      <c r="P74" s="43" t="n"/>
      <c r="Q74" s="43" t="n"/>
      <c r="R74" s="41" t="n"/>
      <c r="S74" s="41" t="n"/>
      <c r="T74" s="41" t="n"/>
      <c r="U74" s="41" t="n"/>
      <c r="V74" s="44" t="n"/>
      <c r="W74" s="41" t="n"/>
      <c r="X74" s="45" t="n"/>
      <c r="Y74" s="41" t="n"/>
      <c r="Z74" s="45" t="n"/>
      <c r="AA74" s="46" t="n"/>
      <c r="AB74" s="46" t="n"/>
      <c r="AC74" s="47" t="n"/>
      <c r="AD74" s="47" t="n"/>
      <c r="AE74" s="43" t="n"/>
      <c r="AF74" s="53" t="n"/>
      <c r="AG74" s="49" t="n"/>
      <c r="AH74" s="1" t="n"/>
    </row>
    <row r="75" ht="48" customHeight="1" s="101">
      <c r="A75" s="54" t="n">
        <v>28</v>
      </c>
      <c r="B75" s="55" t="inlineStr">
        <is>
          <t>T-160B</t>
        </is>
      </c>
      <c r="C75" s="55" t="inlineStr">
        <is>
          <t>JH PMT 90528</t>
        </is>
      </c>
      <c r="D75" s="40" t="inlineStr">
        <is>
          <t>Secondary Brine Purification</t>
        </is>
      </c>
      <c r="E75" s="40" t="n"/>
      <c r="F75" s="40" t="n"/>
      <c r="G75" s="41" t="n"/>
      <c r="H75" s="40" t="n"/>
      <c r="I75" s="40" t="n"/>
      <c r="J75" s="40" t="n"/>
      <c r="K75" s="40" t="n"/>
      <c r="L75" s="40" t="n"/>
      <c r="M75" s="41" t="n"/>
      <c r="N75" s="43" t="n"/>
      <c r="O75" s="41" t="n"/>
      <c r="P75" s="43" t="n"/>
      <c r="Q75" s="43" t="n"/>
      <c r="R75" s="41" t="n"/>
      <c r="S75" s="41" t="n"/>
      <c r="T75" s="41" t="n"/>
      <c r="U75" s="41" t="n"/>
      <c r="V75" s="44" t="n"/>
      <c r="W75" s="41" t="n"/>
      <c r="X75" s="45" t="n"/>
      <c r="Y75" s="41" t="n"/>
      <c r="Z75" s="45" t="n"/>
      <c r="AA75" s="46" t="n"/>
      <c r="AB75" s="46" t="n"/>
      <c r="AC75" s="47" t="n"/>
      <c r="AD75" s="47" t="n"/>
      <c r="AE75" s="43" t="n"/>
      <c r="AF75" s="53" t="n"/>
      <c r="AG75" s="49" t="n"/>
      <c r="AH75" s="1" t="n"/>
    </row>
    <row r="76" ht="48" customHeight="1" s="101">
      <c r="A76" s="120" t="n"/>
      <c r="B76" s="120" t="n"/>
      <c r="C76" s="120" t="n"/>
      <c r="D76" s="120" t="n"/>
      <c r="E76" s="40" t="n"/>
      <c r="F76" s="40" t="n"/>
      <c r="G76" s="41" t="n"/>
      <c r="H76" s="120" t="n"/>
      <c r="I76" s="40" t="n"/>
      <c r="J76" s="40" t="n"/>
      <c r="K76" s="40" t="n"/>
      <c r="L76" s="40" t="n"/>
      <c r="M76" s="41" t="n"/>
      <c r="N76" s="43" t="n"/>
      <c r="O76" s="41" t="n"/>
      <c r="P76" s="43" t="n"/>
      <c r="Q76" s="43" t="n"/>
      <c r="R76" s="41" t="n"/>
      <c r="S76" s="41" t="n"/>
      <c r="T76" s="41" t="n"/>
      <c r="U76" s="41" t="n"/>
      <c r="V76" s="44" t="n"/>
      <c r="W76" s="41" t="n"/>
      <c r="X76" s="45" t="n"/>
      <c r="Y76" s="41" t="n"/>
      <c r="Z76" s="45" t="n"/>
      <c r="AA76" s="46" t="n"/>
      <c r="AB76" s="46" t="n"/>
      <c r="AC76" s="47" t="n"/>
      <c r="AD76" s="47" t="n"/>
      <c r="AE76" s="43" t="n"/>
      <c r="AF76" s="53" t="n"/>
      <c r="AG76" s="49" t="n"/>
      <c r="AH76" s="1" t="n"/>
    </row>
    <row r="77" ht="48" customHeight="1" s="101">
      <c r="A77" s="119" t="n"/>
      <c r="B77" s="119" t="n"/>
      <c r="C77" s="119" t="n"/>
      <c r="D77" s="119" t="n"/>
      <c r="E77" s="40" t="n"/>
      <c r="F77" s="40" t="n"/>
      <c r="G77" s="41" t="n"/>
      <c r="H77" s="119" t="n"/>
      <c r="I77" s="40" t="n"/>
      <c r="J77" s="40" t="n"/>
      <c r="K77" s="40" t="n"/>
      <c r="L77" s="40" t="n"/>
      <c r="M77" s="41" t="n"/>
      <c r="N77" s="43" t="n"/>
      <c r="O77" s="41" t="n"/>
      <c r="P77" s="43" t="n"/>
      <c r="Q77" s="43" t="n"/>
      <c r="R77" s="41" t="n"/>
      <c r="S77" s="41" t="n"/>
      <c r="T77" s="41" t="n"/>
      <c r="U77" s="41" t="n"/>
      <c r="V77" s="44" t="n"/>
      <c r="W77" s="41" t="n"/>
      <c r="X77" s="45" t="n"/>
      <c r="Y77" s="41" t="n"/>
      <c r="Z77" s="45" t="n"/>
      <c r="AA77" s="46" t="n"/>
      <c r="AB77" s="46" t="n"/>
      <c r="AC77" s="47" t="n"/>
      <c r="AD77" s="47" t="n"/>
      <c r="AE77" s="43" t="n"/>
      <c r="AF77" s="53" t="n"/>
      <c r="AG77" s="49" t="n"/>
      <c r="AH77" s="1" t="n"/>
    </row>
    <row r="78" ht="14.25" customHeight="1" s="101">
      <c r="A78" s="1" t="n"/>
      <c r="D78" s="2" t="n"/>
      <c r="E78" s="2" t="n"/>
      <c r="G78" s="1" t="n"/>
      <c r="H78" s="3" t="n"/>
      <c r="I78" s="3" t="n"/>
      <c r="J78" s="3" t="n"/>
      <c r="AF78" s="1" t="n"/>
    </row>
    <row r="79" ht="14.25" customHeight="1" s="101">
      <c r="A79" s="73" t="inlineStr">
        <is>
          <t>**NOTES</t>
        </is>
      </c>
      <c r="B79" s="74" t="n"/>
      <c r="C79" s="74" t="n"/>
      <c r="D79" s="75" t="n"/>
      <c r="E79" s="75" t="n"/>
      <c r="F79" s="74" t="n"/>
      <c r="G79" s="1" t="n"/>
      <c r="H79" s="3" t="n"/>
      <c r="I79" s="3" t="n"/>
      <c r="J79" s="3" t="n"/>
      <c r="AF79" s="1" t="n"/>
    </row>
    <row r="80" ht="21" customHeight="1" s="101">
      <c r="A80" s="7" t="inlineStr">
        <is>
          <t>Thickness Initial : The initial thickness at the same CML as Tactual. It's either the first thickness measurement at this CML or the thickness at the start of a new corrosion rate enviroment in mm.</t>
        </is>
      </c>
      <c r="B80" s="10" t="n"/>
      <c r="C80" s="10" t="n"/>
      <c r="D80" s="10" t="n"/>
      <c r="E80" s="10" t="n"/>
      <c r="F80" s="10" t="n"/>
      <c r="G80" s="10" t="n"/>
      <c r="H80" s="10" t="n"/>
      <c r="I80" s="10" t="n"/>
      <c r="J80" s="10" t="n"/>
      <c r="K80" s="76" t="n"/>
      <c r="L80" s="76" t="n"/>
      <c r="M80" s="76" t="n"/>
      <c r="N80" s="76" t="n"/>
      <c r="O80" s="76" t="n"/>
      <c r="P80" s="76" t="n"/>
      <c r="Q80" s="76" t="n"/>
      <c r="AF80" s="1" t="n"/>
    </row>
    <row r="81" ht="21" customHeight="1" s="101">
      <c r="A81" s="7" t="inlineStr">
        <is>
          <t>Thicknes Required : The required thickness at the same CML in mm, as the Tactual measurement. It is computed by the design formulas (e.g, pressure and structural) and does not include corrosion allowance or manufacturer's tolerances.</t>
        </is>
      </c>
      <c r="B81" s="7" t="n"/>
      <c r="C81" s="7" t="n"/>
      <c r="D81" s="7" t="n"/>
      <c r="E81" s="7" t="n"/>
      <c r="F81" s="7" t="n"/>
      <c r="G81" s="7" t="n"/>
      <c r="H81" s="10" t="n"/>
      <c r="I81" s="10" t="n"/>
      <c r="J81" s="10" t="n"/>
      <c r="AF81" s="1" t="n"/>
    </row>
    <row r="82" ht="21" customHeight="1" s="101">
      <c r="A82" s="7" t="inlineStr">
        <is>
          <t>Thickness Design : As per as BUILT DRAWING.</t>
        </is>
      </c>
      <c r="B82" s="7" t="n"/>
      <c r="C82" s="7" t="n"/>
      <c r="D82" s="7" t="n"/>
      <c r="E82" s="7" t="n"/>
      <c r="F82" s="7" t="n"/>
      <c r="G82" s="7" t="n"/>
      <c r="H82" s="10" t="n"/>
      <c r="I82" s="10" t="n"/>
      <c r="J82" s="10" t="n"/>
      <c r="AF82" s="1" t="n"/>
    </row>
    <row r="83" ht="21" customHeight="1" s="101">
      <c r="A83" s="7" t="inlineStr">
        <is>
          <t>Thickness Actual : The actual thickness of a CML, in mm, measured during the most recent inspection.</t>
        </is>
      </c>
      <c r="B83" s="7" t="n"/>
      <c r="C83" s="7" t="n"/>
      <c r="D83" s="7" t="n"/>
      <c r="E83" s="7" t="n"/>
      <c r="F83" s="7" t="n"/>
      <c r="G83" s="7" t="n"/>
      <c r="H83" s="10" t="n"/>
      <c r="I83" s="10" t="n"/>
      <c r="J83" s="10" t="n"/>
      <c r="AF83" s="1" t="n"/>
    </row>
    <row r="84" ht="21" customHeight="1" s="101">
      <c r="A84" s="7" t="inlineStr">
        <is>
          <t>Thickness Previous : The previous thickness measured during the prior inspection. It is at the same location as Tactual measured during a previous inspection, in mm</t>
        </is>
      </c>
      <c r="B84" s="7" t="n"/>
      <c r="C84" s="7" t="n"/>
      <c r="D84" s="7" t="n"/>
      <c r="E84" s="7" t="n"/>
      <c r="F84" s="7" t="n"/>
      <c r="G84" s="7" t="n"/>
      <c r="H84" s="10" t="n"/>
      <c r="I84" s="10" t="n"/>
      <c r="J84" s="10" t="n"/>
      <c r="AF84" s="1" t="n"/>
    </row>
    <row r="85" ht="21" customHeight="1" s="101">
      <c r="A85" s="7" t="inlineStr">
        <is>
          <t>Thickness Lowest: Lowest measured thickness recorded during the most recent inspection</t>
        </is>
      </c>
      <c r="D85" s="2" t="n"/>
      <c r="E85" s="2" t="n"/>
      <c r="G85" s="1" t="n"/>
      <c r="H85" s="3" t="n"/>
      <c r="I85" s="3" t="n"/>
      <c r="J85" s="3" t="n"/>
      <c r="AF85" s="1" t="n"/>
    </row>
    <row r="86" ht="14.25" customHeight="1" s="101">
      <c r="A86" s="1" t="n"/>
      <c r="D86" s="2" t="n"/>
      <c r="E86" s="2" t="n"/>
      <c r="G86" s="1" t="n"/>
      <c r="H86" s="3" t="n"/>
      <c r="I86" s="3" t="n"/>
      <c r="J86" s="3" t="n"/>
      <c r="AF86" s="1" t="n"/>
    </row>
    <row r="87" ht="14.25" customHeight="1" s="101">
      <c r="A87" s="1" t="n"/>
      <c r="D87" s="2" t="n"/>
      <c r="E87" s="2" t="n"/>
      <c r="G87" s="1" t="n"/>
      <c r="H87" s="3" t="n"/>
      <c r="I87" s="3" t="n"/>
      <c r="J87" s="3" t="n"/>
      <c r="AF87" s="1" t="n"/>
    </row>
    <row r="88" ht="22.5" customHeight="1" s="101">
      <c r="A88" s="77" t="inlineStr">
        <is>
          <t>***NOTES</t>
        </is>
      </c>
      <c r="B88" s="78" t="n"/>
      <c r="C88" s="78" t="n"/>
      <c r="D88" s="79" t="n"/>
      <c r="E88" s="79" t="n"/>
      <c r="F88" s="78" t="n"/>
      <c r="G88" s="1" t="n"/>
      <c r="H88" s="80" t="n"/>
      <c r="I88" s="80" t="n"/>
      <c r="J88" s="80"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1" t="n"/>
      <c r="AG88" s="78" t="n"/>
      <c r="AH88" s="78" t="n"/>
    </row>
    <row r="89" ht="22.5" customHeight="1" s="101">
      <c r="A89" s="7" t="inlineStr">
        <is>
          <t>STCR: Short term corrosion rate</t>
        </is>
      </c>
      <c r="B89" s="78" t="n"/>
      <c r="C89" s="78" t="n"/>
      <c r="D89" s="79" t="n"/>
      <c r="E89" s="79" t="n"/>
      <c r="F89" s="78" t="n"/>
      <c r="G89" s="1" t="n"/>
      <c r="H89" s="80" t="n"/>
      <c r="I89" s="80" t="n"/>
      <c r="J89" s="80"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1" t="n"/>
      <c r="AG89" s="78" t="n"/>
      <c r="AH89" s="78" t="n"/>
    </row>
    <row r="90" ht="22.5" customHeight="1" s="101">
      <c r="A90" s="7" t="inlineStr">
        <is>
          <t>LTCR: Long term corrosion rate</t>
        </is>
      </c>
      <c r="B90" s="78" t="n"/>
      <c r="C90" s="78" t="n"/>
      <c r="D90" s="79" t="n"/>
      <c r="E90" s="79" t="n"/>
      <c r="F90" s="78" t="n"/>
      <c r="G90" s="1" t="n"/>
      <c r="H90" s="80" t="n"/>
      <c r="I90" s="80" t="n"/>
      <c r="J90" s="80"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1" t="n"/>
      <c r="AG90" s="78" t="n"/>
      <c r="AH90" s="78" t="n"/>
    </row>
    <row r="91" ht="22.5" customHeight="1" s="101">
      <c r="A91" s="7" t="inlineStr">
        <is>
          <t>ER: Expert corrosion rate from literature, Ref/1/1 and Ref/2/ in RBI Report</t>
        </is>
      </c>
      <c r="B91" s="78" t="n"/>
      <c r="C91" s="78" t="n"/>
      <c r="D91" s="79" t="n"/>
      <c r="E91" s="79" t="n"/>
      <c r="F91" s="78" t="n"/>
      <c r="G91" s="1" t="n"/>
      <c r="H91" s="80" t="n"/>
      <c r="I91" s="80" t="n"/>
      <c r="J91" s="80"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1" t="n"/>
      <c r="AG91" s="78" t="n"/>
      <c r="AH91" s="78" t="n"/>
    </row>
    <row r="92" ht="22.5" customHeight="1" s="101">
      <c r="A92" s="78" t="n"/>
      <c r="B92" s="78" t="n"/>
      <c r="C92" s="78" t="n"/>
      <c r="D92" s="79" t="n"/>
      <c r="E92" s="79" t="n"/>
      <c r="F92" s="78" t="n"/>
      <c r="G92" s="1" t="n"/>
      <c r="H92" s="80" t="n"/>
      <c r="I92" s="80" t="n"/>
      <c r="J92" s="80"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1" t="n"/>
      <c r="AG92" s="78" t="n"/>
      <c r="AH92" s="78" t="n"/>
    </row>
    <row r="93" ht="14.25" customHeight="1" s="101">
      <c r="A93" s="1" t="n"/>
      <c r="D93" s="2" t="n"/>
      <c r="E93" s="2" t="n"/>
      <c r="G93" s="1" t="n"/>
      <c r="H93" s="3" t="n"/>
      <c r="I93" s="3" t="n"/>
      <c r="J93" s="3" t="n"/>
      <c r="AF93" s="1" t="n"/>
    </row>
    <row r="94" ht="14.25" customHeight="1" s="101">
      <c r="A94" s="81" t="n"/>
      <c r="D94" s="2" t="n"/>
      <c r="E94" s="2" t="n"/>
      <c r="G94" s="1" t="n"/>
      <c r="H94" s="3" t="n"/>
      <c r="I94" s="3" t="n"/>
      <c r="J94" s="3" t="n"/>
      <c r="AF94" s="1" t="n"/>
    </row>
    <row r="95" ht="14.25" customHeight="1" s="101">
      <c r="A95" s="82" t="n"/>
      <c r="E95" s="2" t="n"/>
      <c r="G95" s="1" t="n"/>
      <c r="H95" s="3" t="n"/>
      <c r="I95" s="3" t="n"/>
      <c r="J95" s="3" t="n"/>
      <c r="AF95" s="1" t="n"/>
    </row>
    <row r="96" ht="14.25" customHeight="1" s="101">
      <c r="A96" s="125" t="n"/>
      <c r="E96" s="2" t="n"/>
      <c r="G96" s="1" t="n"/>
      <c r="H96" s="3" t="n"/>
      <c r="I96" s="3" t="n"/>
      <c r="J96" s="3" t="n"/>
      <c r="AF96" s="1" t="n"/>
    </row>
    <row r="97" ht="14.25" customHeight="1" s="101">
      <c r="A97" s="84" t="n"/>
      <c r="B97" s="85" t="n"/>
      <c r="D97" s="2" t="n"/>
      <c r="E97" s="2" t="n"/>
      <c r="G97" s="1" t="n"/>
      <c r="H97" s="3" t="n"/>
      <c r="I97" s="3" t="n"/>
      <c r="J97" s="3" t="n"/>
      <c r="AF97" s="1" t="n"/>
    </row>
    <row r="98" ht="14.25" customHeight="1" s="101">
      <c r="A98" s="84" t="n"/>
      <c r="B98" s="85" t="n"/>
      <c r="D98" s="2" t="n"/>
      <c r="E98" s="2" t="n"/>
      <c r="G98" s="1" t="n"/>
      <c r="H98" s="3" t="n"/>
      <c r="I98" s="3" t="n"/>
      <c r="J98" s="3" t="n"/>
      <c r="AF98" s="1" t="n"/>
    </row>
    <row r="99" ht="14.25" customHeight="1" s="101">
      <c r="A99" s="84" t="n"/>
      <c r="B99" s="85" t="n"/>
      <c r="D99" s="2" t="n"/>
      <c r="E99" s="2" t="n"/>
      <c r="G99" s="1" t="n"/>
      <c r="H99" s="3" t="n"/>
      <c r="I99" s="3" t="n"/>
      <c r="J99" s="3" t="n"/>
      <c r="AF99" s="1" t="n"/>
    </row>
    <row r="100" ht="14.25" customHeight="1" s="101">
      <c r="A100" s="1" t="n"/>
      <c r="D100" s="2" t="n"/>
      <c r="E100" s="2" t="n"/>
      <c r="G100" s="1" t="n"/>
      <c r="H100" s="3" t="n"/>
      <c r="I100" s="3" t="n"/>
      <c r="J100" s="3" t="n"/>
      <c r="AF100" s="1" t="n"/>
    </row>
    <row r="101" ht="14.25" customHeight="1" s="101">
      <c r="A101" s="1" t="n"/>
      <c r="D101" s="2" t="n"/>
      <c r="E101" s="2" t="n"/>
      <c r="G101" s="1" t="n"/>
      <c r="H101" s="3" t="n"/>
      <c r="I101" s="3" t="n"/>
      <c r="J101" s="3" t="n"/>
      <c r="AF101" s="1" t="n"/>
    </row>
    <row r="102" ht="14.25" customHeight="1" s="101">
      <c r="A102" s="1" t="n"/>
      <c r="D102" s="2" t="n"/>
      <c r="E102" s="2" t="n"/>
      <c r="G102" s="1" t="n"/>
      <c r="H102" s="3" t="n"/>
      <c r="I102" s="3" t="n"/>
      <c r="J102" s="3" t="n"/>
      <c r="AF102" s="1" t="n"/>
    </row>
    <row r="103" ht="14.25" customHeight="1" s="101">
      <c r="A103" s="1" t="n"/>
      <c r="D103" s="2" t="n"/>
      <c r="E103" s="2" t="n"/>
      <c r="G103" s="1" t="n"/>
      <c r="H103" s="3" t="n"/>
      <c r="I103" s="3" t="n"/>
      <c r="J103" s="3" t="n"/>
      <c r="AF103" s="1" t="n"/>
    </row>
    <row r="104" ht="14.25" customHeight="1" s="101">
      <c r="A104" s="1" t="n"/>
      <c r="D104" s="2" t="n"/>
      <c r="E104" s="2" t="n"/>
      <c r="G104" s="1" t="n"/>
      <c r="H104" s="3" t="n"/>
      <c r="I104" s="3" t="n"/>
      <c r="J104" s="3" t="n"/>
      <c r="AF104" s="1" t="n"/>
    </row>
    <row r="105" ht="14.25" customHeight="1" s="101">
      <c r="A105" s="1" t="n"/>
      <c r="D105" s="2" t="n"/>
      <c r="E105" s="2" t="n"/>
      <c r="G105" s="1" t="n"/>
      <c r="H105" s="3" t="n"/>
      <c r="I105" s="3" t="n"/>
      <c r="J105" s="3" t="n"/>
      <c r="AF105" s="1" t="n"/>
    </row>
    <row r="106" ht="14.25" customHeight="1" s="101">
      <c r="A106" s="1" t="n"/>
      <c r="D106" s="2" t="n"/>
      <c r="E106" s="2" t="n"/>
      <c r="G106" s="1" t="n"/>
      <c r="H106" s="3" t="n"/>
      <c r="I106" s="3" t="n"/>
      <c r="J106" s="3" t="n"/>
      <c r="AF106" s="1" t="n"/>
    </row>
    <row r="107" ht="14.25" customHeight="1" s="101">
      <c r="A107" s="1" t="n"/>
      <c r="D107" s="2" t="n"/>
      <c r="E107" s="2" t="n"/>
      <c r="G107" s="1" t="n"/>
      <c r="H107" s="3" t="n"/>
      <c r="I107" s="3" t="n"/>
      <c r="J107" s="3" t="n"/>
      <c r="AF107" s="1" t="n"/>
    </row>
    <row r="108" ht="14.25" customHeight="1" s="101">
      <c r="A108" s="1" t="n"/>
      <c r="D108" s="2" t="n"/>
      <c r="E108" s="2" t="n"/>
      <c r="G108" s="1" t="n"/>
      <c r="H108" s="3" t="n"/>
      <c r="I108" s="3" t="n"/>
      <c r="J108" s="3" t="n"/>
      <c r="AF108" s="1" t="n"/>
    </row>
    <row r="109" ht="14.25" customHeight="1" s="101">
      <c r="A109" s="1" t="n"/>
      <c r="D109" s="2" t="n"/>
      <c r="E109" s="2" t="n"/>
      <c r="G109" s="1" t="n"/>
      <c r="H109" s="3" t="n"/>
      <c r="I109" s="3" t="n"/>
      <c r="J109" s="3" t="n"/>
      <c r="AF109" s="1" t="n"/>
    </row>
    <row r="110" ht="14.25" customHeight="1" s="101">
      <c r="A110" s="1" t="n"/>
      <c r="D110" s="2" t="n"/>
      <c r="E110" s="2" t="n"/>
      <c r="G110" s="1" t="n"/>
      <c r="H110" s="3" t="n"/>
      <c r="I110" s="3" t="n"/>
      <c r="J110" s="3" t="n"/>
      <c r="AF110" s="1" t="n"/>
    </row>
    <row r="111" ht="14.25" customHeight="1" s="101">
      <c r="A111" s="1" t="n"/>
      <c r="D111" s="2" t="n"/>
      <c r="E111" s="2" t="n"/>
      <c r="G111" s="1" t="n"/>
      <c r="H111" s="3" t="n"/>
      <c r="I111" s="3" t="n"/>
      <c r="J111" s="3" t="n"/>
      <c r="AF111" s="1" t="n"/>
    </row>
    <row r="112" ht="14.25" customHeight="1" s="101">
      <c r="A112" s="1" t="n"/>
      <c r="D112" s="2" t="n"/>
      <c r="E112" s="2" t="n"/>
      <c r="G112" s="1" t="n"/>
      <c r="H112" s="3" t="n"/>
      <c r="I112" s="3" t="n"/>
      <c r="J112" s="3" t="n"/>
      <c r="AF112" s="1" t="n"/>
    </row>
    <row r="113" ht="14.25" customHeight="1" s="101">
      <c r="A113" s="1" t="n"/>
      <c r="D113" s="2" t="n"/>
      <c r="E113" s="2" t="n"/>
      <c r="G113" s="1" t="n"/>
      <c r="H113" s="3" t="n"/>
      <c r="I113" s="3" t="n"/>
      <c r="J113" s="3" t="n"/>
      <c r="AF113" s="1" t="n"/>
    </row>
    <row r="114" ht="14.25" customHeight="1" s="101">
      <c r="A114" s="1" t="n"/>
      <c r="D114" s="2" t="n"/>
      <c r="E114" s="2" t="n"/>
      <c r="G114" s="1" t="n"/>
      <c r="H114" s="3" t="n"/>
      <c r="I114" s="3" t="n"/>
      <c r="J114" s="3" t="n"/>
      <c r="AF114" s="1" t="n"/>
    </row>
    <row r="115" ht="14.25" customHeight="1" s="101">
      <c r="A115" s="1" t="n"/>
      <c r="D115" s="2" t="n"/>
      <c r="E115" s="2" t="n"/>
      <c r="G115" s="1" t="n"/>
      <c r="H115" s="3" t="n"/>
      <c r="I115" s="3" t="n"/>
      <c r="J115" s="3" t="n"/>
      <c r="AF115" s="1" t="n"/>
    </row>
    <row r="116" ht="14.25" customHeight="1" s="101">
      <c r="A116" s="1" t="n"/>
      <c r="D116" s="2" t="n"/>
      <c r="E116" s="2" t="n"/>
      <c r="G116" s="1" t="n"/>
      <c r="H116" s="3" t="n"/>
      <c r="I116" s="3" t="n"/>
      <c r="J116" s="3" t="n"/>
      <c r="AF116" s="1" t="n"/>
    </row>
    <row r="117" ht="14.25" customHeight="1" s="101">
      <c r="A117" s="1" t="n"/>
      <c r="D117" s="2" t="n"/>
      <c r="E117" s="2" t="n"/>
      <c r="G117" s="1" t="n"/>
      <c r="H117" s="3" t="n"/>
      <c r="I117" s="3" t="n"/>
      <c r="J117" s="3" t="n"/>
      <c r="AF117" s="1" t="n"/>
    </row>
    <row r="118" ht="14.25" customHeight="1" s="101">
      <c r="A118" s="1" t="n"/>
      <c r="D118" s="2" t="n"/>
      <c r="E118" s="2" t="n"/>
      <c r="G118" s="1" t="n"/>
      <c r="H118" s="3" t="n"/>
      <c r="I118" s="3" t="n"/>
      <c r="J118" s="3" t="n"/>
      <c r="AF118" s="1" t="n"/>
    </row>
    <row r="119" ht="14.25" customHeight="1" s="101">
      <c r="A119" s="1" t="n"/>
      <c r="D119" s="2" t="n"/>
      <c r="E119" s="2" t="n"/>
      <c r="G119" s="1" t="n"/>
      <c r="H119" s="3" t="n"/>
      <c r="I119" s="3" t="n"/>
      <c r="J119" s="3" t="n"/>
      <c r="AF119" s="1" t="n"/>
    </row>
    <row r="120" ht="14.25" customHeight="1" s="101">
      <c r="A120" s="1" t="n"/>
      <c r="D120" s="2" t="n"/>
      <c r="E120" s="2" t="n"/>
      <c r="G120" s="1" t="n"/>
      <c r="H120" s="3" t="n"/>
      <c r="I120" s="3" t="n"/>
      <c r="J120" s="3" t="n"/>
      <c r="AF120" s="1" t="n"/>
    </row>
    <row r="121" ht="14.25" customHeight="1" s="101">
      <c r="A121" s="1" t="n"/>
      <c r="D121" s="2" t="n"/>
      <c r="E121" s="2" t="n"/>
      <c r="G121" s="1" t="n"/>
      <c r="H121" s="3" t="n"/>
      <c r="I121" s="3" t="n"/>
      <c r="J121" s="3" t="n"/>
      <c r="AF121" s="1" t="n"/>
    </row>
    <row r="122" ht="14.25" customHeight="1" s="101">
      <c r="A122" s="1" t="n"/>
      <c r="D122" s="2" t="n"/>
      <c r="E122" s="2" t="n"/>
      <c r="G122" s="1" t="n"/>
      <c r="H122" s="3" t="n"/>
      <c r="I122" s="3" t="n"/>
      <c r="J122" s="3" t="n"/>
      <c r="AF122" s="1" t="n"/>
    </row>
    <row r="123" ht="14.25" customHeight="1" s="101">
      <c r="A123" s="1" t="n"/>
      <c r="D123" s="2" t="n"/>
      <c r="E123" s="2" t="n"/>
      <c r="G123" s="1" t="n"/>
      <c r="H123" s="3" t="n"/>
      <c r="I123" s="3" t="n"/>
      <c r="J123" s="3" t="n"/>
      <c r="AF123" s="1" t="n"/>
    </row>
    <row r="124" ht="14.25" customHeight="1" s="101">
      <c r="A124" s="1" t="n"/>
      <c r="D124" s="2" t="n"/>
      <c r="E124" s="2" t="n"/>
      <c r="G124" s="1" t="n"/>
      <c r="H124" s="3" t="n"/>
      <c r="I124" s="3" t="n"/>
      <c r="J124" s="3" t="n"/>
      <c r="AF124" s="1" t="n"/>
    </row>
    <row r="125" ht="14.25" customHeight="1" s="101">
      <c r="A125" s="1" t="n"/>
      <c r="D125" s="2" t="n"/>
      <c r="E125" s="2" t="n"/>
      <c r="G125" s="1" t="n"/>
      <c r="H125" s="3" t="n"/>
      <c r="I125" s="3" t="n"/>
      <c r="J125" s="3" t="n"/>
      <c r="AF125" s="1" t="n"/>
    </row>
    <row r="126" ht="14.25" customHeight="1" s="101">
      <c r="A126" s="1" t="n"/>
      <c r="D126" s="2" t="n"/>
      <c r="E126" s="2" t="n"/>
      <c r="G126" s="1" t="n"/>
      <c r="H126" s="3" t="n"/>
      <c r="I126" s="3" t="n"/>
      <c r="J126" s="3" t="n"/>
      <c r="AF126" s="1" t="n"/>
    </row>
    <row r="127" ht="14.25" customHeight="1" s="101">
      <c r="A127" s="1" t="n"/>
      <c r="D127" s="2" t="n"/>
      <c r="E127" s="2" t="n"/>
      <c r="G127" s="1" t="n"/>
      <c r="H127" s="3" t="n"/>
      <c r="I127" s="3" t="n"/>
      <c r="J127" s="3" t="n"/>
      <c r="AF127" s="1" t="n"/>
    </row>
    <row r="128" ht="14.25" customHeight="1" s="101">
      <c r="A128" s="1" t="n"/>
      <c r="D128" s="2" t="n"/>
      <c r="E128" s="2" t="n"/>
      <c r="G128" s="1" t="n"/>
      <c r="H128" s="3" t="n"/>
      <c r="I128" s="3" t="n"/>
      <c r="J128" s="3" t="n"/>
      <c r="AF128" s="1" t="n"/>
    </row>
    <row r="129" ht="14.25" customHeight="1" s="101">
      <c r="A129" s="1" t="n"/>
      <c r="D129" s="2" t="n"/>
      <c r="E129" s="2" t="n"/>
      <c r="G129" s="1" t="n"/>
      <c r="H129" s="3" t="n"/>
      <c r="I129" s="3" t="n"/>
      <c r="J129" s="3" t="n"/>
      <c r="AF129" s="1" t="n"/>
    </row>
    <row r="130" ht="14.25" customHeight="1" s="101">
      <c r="A130" s="1" t="n"/>
      <c r="D130" s="2" t="n"/>
      <c r="E130" s="2" t="n"/>
      <c r="G130" s="1" t="n"/>
      <c r="H130" s="3" t="n"/>
      <c r="I130" s="3" t="n"/>
      <c r="J130" s="3" t="n"/>
      <c r="AF130" s="1" t="n"/>
    </row>
    <row r="131" ht="14.25" customHeight="1" s="101">
      <c r="A131" s="1" t="n"/>
      <c r="D131" s="2" t="n"/>
      <c r="E131" s="2" t="n"/>
      <c r="G131" s="1" t="n"/>
      <c r="H131" s="3" t="n"/>
      <c r="I131" s="3" t="n"/>
      <c r="J131" s="3" t="n"/>
      <c r="AF131" s="1" t="n"/>
    </row>
    <row r="132" ht="14.25" customHeight="1" s="101">
      <c r="A132" s="1" t="n"/>
      <c r="D132" s="2" t="n"/>
      <c r="E132" s="2" t="n"/>
      <c r="G132" s="1" t="n"/>
      <c r="H132" s="3" t="n"/>
      <c r="I132" s="3" t="n"/>
      <c r="J132" s="3" t="n"/>
      <c r="AF132" s="1" t="n"/>
    </row>
    <row r="133" ht="14.25" customHeight="1" s="101">
      <c r="A133" s="1" t="n"/>
      <c r="D133" s="2" t="n"/>
      <c r="E133" s="2" t="n"/>
      <c r="G133" s="1" t="n"/>
      <c r="H133" s="3" t="n"/>
      <c r="I133" s="3" t="n"/>
      <c r="J133" s="3" t="n"/>
      <c r="AF133" s="1" t="n"/>
    </row>
    <row r="134" ht="14.25" customHeight="1" s="101">
      <c r="A134" s="1" t="n"/>
      <c r="D134" s="2" t="n"/>
      <c r="E134" s="2" t="n"/>
      <c r="G134" s="1" t="n"/>
      <c r="H134" s="3" t="n"/>
      <c r="I134" s="3" t="n"/>
      <c r="J134" s="3" t="n"/>
      <c r="AF134" s="1" t="n"/>
    </row>
    <row r="135" ht="14.25" customHeight="1" s="101">
      <c r="A135" s="1" t="n"/>
      <c r="D135" s="2" t="n"/>
      <c r="E135" s="2" t="n"/>
      <c r="G135" s="1" t="n"/>
      <c r="H135" s="3" t="n"/>
      <c r="I135" s="3" t="n"/>
      <c r="J135" s="3" t="n"/>
      <c r="AF135" s="1" t="n"/>
    </row>
    <row r="136" ht="14.25" customHeight="1" s="101">
      <c r="A136" s="1" t="n"/>
      <c r="D136" s="2" t="n"/>
      <c r="E136" s="2" t="n"/>
      <c r="G136" s="1" t="n"/>
      <c r="H136" s="3" t="n"/>
      <c r="I136" s="3" t="n"/>
      <c r="J136" s="3" t="n"/>
      <c r="AF136" s="1" t="n"/>
    </row>
    <row r="137" ht="14.25" customHeight="1" s="101">
      <c r="A137" s="1" t="n"/>
      <c r="D137" s="2" t="n"/>
      <c r="E137" s="2" t="n"/>
      <c r="G137" s="1" t="n"/>
      <c r="H137" s="3" t="n"/>
      <c r="I137" s="3" t="n"/>
      <c r="J137" s="3" t="n"/>
      <c r="AF137" s="1" t="n"/>
    </row>
    <row r="138" ht="14.25" customHeight="1" s="101">
      <c r="A138" s="1" t="n"/>
      <c r="D138" s="2" t="n"/>
      <c r="E138" s="2" t="n"/>
      <c r="G138" s="1" t="n"/>
      <c r="H138" s="3" t="n"/>
      <c r="I138" s="3" t="n"/>
      <c r="J138" s="3" t="n"/>
      <c r="AF138" s="1" t="n"/>
    </row>
    <row r="139" ht="14.25" customHeight="1" s="101">
      <c r="A139" s="1" t="n"/>
      <c r="D139" s="2" t="n"/>
      <c r="E139" s="2" t="n"/>
      <c r="G139" s="1" t="n"/>
      <c r="H139" s="3" t="n"/>
      <c r="I139" s="3" t="n"/>
      <c r="J139" s="3" t="n"/>
      <c r="AF139" s="1" t="n"/>
    </row>
    <row r="140" ht="14.25" customHeight="1" s="101">
      <c r="A140" s="1" t="n"/>
      <c r="D140" s="2" t="n"/>
      <c r="E140" s="2" t="n"/>
      <c r="G140" s="1" t="n"/>
      <c r="H140" s="3" t="n"/>
      <c r="I140" s="3" t="n"/>
      <c r="J140" s="3" t="n"/>
      <c r="AF140" s="1" t="n"/>
    </row>
    <row r="141" ht="14.25" customHeight="1" s="101">
      <c r="A141" s="1" t="n"/>
      <c r="D141" s="2" t="n"/>
      <c r="E141" s="2" t="n"/>
      <c r="G141" s="1" t="n"/>
      <c r="H141" s="3" t="n"/>
      <c r="I141" s="3" t="n"/>
      <c r="J141" s="3" t="n"/>
      <c r="AF141" s="1" t="n"/>
    </row>
    <row r="142" ht="14.25" customHeight="1" s="101">
      <c r="A142" s="1" t="n"/>
      <c r="D142" s="2" t="n"/>
      <c r="E142" s="2" t="n"/>
      <c r="G142" s="1" t="n"/>
      <c r="H142" s="3" t="n"/>
      <c r="I142" s="3" t="n"/>
      <c r="J142" s="3" t="n"/>
      <c r="AF142" s="1" t="n"/>
    </row>
    <row r="143" ht="14.25" customHeight="1" s="101">
      <c r="A143" s="1" t="n"/>
      <c r="D143" s="2" t="n"/>
      <c r="E143" s="2" t="n"/>
      <c r="G143" s="1" t="n"/>
      <c r="H143" s="3" t="n"/>
      <c r="I143" s="3" t="n"/>
      <c r="J143" s="3" t="n"/>
      <c r="AF143" s="1" t="n"/>
    </row>
    <row r="144" ht="14.25" customHeight="1" s="101">
      <c r="A144" s="1" t="n"/>
      <c r="D144" s="2" t="n"/>
      <c r="E144" s="2" t="n"/>
      <c r="G144" s="1" t="n"/>
      <c r="H144" s="3" t="n"/>
      <c r="I144" s="3" t="n"/>
      <c r="J144" s="3" t="n"/>
      <c r="AF144" s="1" t="n"/>
    </row>
    <row r="145" ht="14.25" customHeight="1" s="101">
      <c r="A145" s="1" t="n"/>
      <c r="D145" s="2" t="n"/>
      <c r="E145" s="2" t="n"/>
      <c r="G145" s="1" t="n"/>
      <c r="H145" s="3" t="n"/>
      <c r="I145" s="3" t="n"/>
      <c r="J145" s="3" t="n"/>
      <c r="AF145" s="1" t="n"/>
    </row>
    <row r="146" ht="14.25" customHeight="1" s="101">
      <c r="A146" s="1" t="n"/>
      <c r="D146" s="2" t="n"/>
      <c r="E146" s="2" t="n"/>
      <c r="G146" s="1" t="n"/>
      <c r="H146" s="3" t="n"/>
      <c r="I146" s="3" t="n"/>
      <c r="J146" s="3" t="n"/>
      <c r="AF146" s="1" t="n"/>
    </row>
    <row r="147" ht="14.25" customHeight="1" s="101">
      <c r="A147" s="1" t="n"/>
      <c r="D147" s="2" t="n"/>
      <c r="E147" s="2" t="n"/>
      <c r="G147" s="1" t="n"/>
      <c r="H147" s="3" t="n"/>
      <c r="I147" s="3" t="n"/>
      <c r="J147" s="3" t="n"/>
      <c r="AF147" s="1" t="n"/>
    </row>
    <row r="148" ht="14.25" customHeight="1" s="101">
      <c r="A148" s="1" t="n"/>
      <c r="D148" s="2" t="n"/>
      <c r="E148" s="2" t="n"/>
      <c r="G148" s="1" t="n"/>
      <c r="H148" s="3" t="n"/>
      <c r="I148" s="3" t="n"/>
      <c r="J148" s="3" t="n"/>
      <c r="AF148" s="1" t="n"/>
    </row>
    <row r="149" ht="14.25" customHeight="1" s="101">
      <c r="A149" s="1" t="n"/>
      <c r="D149" s="2" t="n"/>
      <c r="E149" s="2" t="n"/>
      <c r="G149" s="1" t="n"/>
      <c r="H149" s="3" t="n"/>
      <c r="I149" s="3" t="n"/>
      <c r="J149" s="3" t="n"/>
      <c r="AF149" s="1" t="n"/>
    </row>
    <row r="150" ht="14.25" customHeight="1" s="101">
      <c r="A150" s="1" t="n"/>
      <c r="D150" s="2" t="n"/>
      <c r="E150" s="2" t="n"/>
      <c r="G150" s="1" t="n"/>
      <c r="H150" s="3" t="n"/>
      <c r="I150" s="3" t="n"/>
      <c r="J150" s="3" t="n"/>
      <c r="AF150" s="1" t="n"/>
    </row>
    <row r="151" ht="14.25" customHeight="1" s="101">
      <c r="A151" s="1" t="n"/>
      <c r="D151" s="2" t="n"/>
      <c r="E151" s="2" t="n"/>
      <c r="G151" s="1" t="n"/>
      <c r="H151" s="3" t="n"/>
      <c r="I151" s="3" t="n"/>
      <c r="J151" s="3" t="n"/>
      <c r="AF151" s="1" t="n"/>
    </row>
    <row r="152" ht="14.25" customHeight="1" s="101">
      <c r="A152" s="1" t="n"/>
      <c r="D152" s="2" t="n"/>
      <c r="E152" s="2" t="n"/>
      <c r="G152" s="1" t="n"/>
      <c r="H152" s="3" t="n"/>
      <c r="I152" s="3" t="n"/>
      <c r="J152" s="3" t="n"/>
      <c r="AF152" s="1" t="n"/>
    </row>
    <row r="153" ht="14.25" customHeight="1" s="101">
      <c r="A153" s="1" t="n"/>
      <c r="D153" s="2" t="n"/>
      <c r="E153" s="2" t="n"/>
      <c r="G153" s="1" t="n"/>
      <c r="H153" s="3" t="n"/>
      <c r="I153" s="3" t="n"/>
      <c r="J153" s="3" t="n"/>
      <c r="AF153" s="1" t="n"/>
    </row>
    <row r="154" ht="14.25" customHeight="1" s="101">
      <c r="A154" s="1" t="n"/>
      <c r="D154" s="2" t="n"/>
      <c r="E154" s="2" t="n"/>
      <c r="G154" s="1" t="n"/>
      <c r="H154" s="3" t="n"/>
      <c r="I154" s="3" t="n"/>
      <c r="J154" s="3" t="n"/>
      <c r="AF154" s="1" t="n"/>
    </row>
    <row r="155" ht="14.25" customHeight="1" s="101">
      <c r="A155" s="1" t="n"/>
      <c r="D155" s="2" t="n"/>
      <c r="E155" s="2" t="n"/>
      <c r="G155" s="1" t="n"/>
      <c r="H155" s="3" t="n"/>
      <c r="I155" s="3" t="n"/>
      <c r="J155" s="3" t="n"/>
      <c r="AF155" s="1" t="n"/>
    </row>
    <row r="156" ht="14.25" customHeight="1" s="101">
      <c r="A156" s="1" t="n"/>
      <c r="D156" s="2" t="n"/>
      <c r="E156" s="2" t="n"/>
      <c r="G156" s="1" t="n"/>
      <c r="H156" s="3" t="n"/>
      <c r="I156" s="3" t="n"/>
      <c r="J156" s="3" t="n"/>
      <c r="AF156" s="1" t="n"/>
    </row>
    <row r="157" ht="14.25" customHeight="1" s="101">
      <c r="A157" s="1" t="n"/>
      <c r="D157" s="2" t="n"/>
      <c r="E157" s="2" t="n"/>
      <c r="G157" s="1" t="n"/>
      <c r="H157" s="3" t="n"/>
      <c r="I157" s="3" t="n"/>
      <c r="J157" s="3" t="n"/>
      <c r="AF157" s="1" t="n"/>
    </row>
    <row r="158" ht="14.25" customHeight="1" s="101">
      <c r="A158" s="1" t="n"/>
      <c r="D158" s="2" t="n"/>
      <c r="E158" s="2" t="n"/>
      <c r="G158" s="1" t="n"/>
      <c r="H158" s="3" t="n"/>
      <c r="I158" s="3" t="n"/>
      <c r="J158" s="3" t="n"/>
      <c r="AF158" s="1" t="n"/>
    </row>
    <row r="159" ht="14.25" customHeight="1" s="101">
      <c r="A159" s="1" t="n"/>
      <c r="D159" s="2" t="n"/>
      <c r="E159" s="2" t="n"/>
      <c r="G159" s="1" t="n"/>
      <c r="H159" s="3" t="n"/>
      <c r="I159" s="3" t="n"/>
      <c r="J159" s="3" t="n"/>
      <c r="AF159" s="1" t="n"/>
    </row>
    <row r="160" ht="14.25" customHeight="1" s="101">
      <c r="A160" s="1" t="n"/>
      <c r="D160" s="2" t="n"/>
      <c r="E160" s="2" t="n"/>
      <c r="G160" s="1" t="n"/>
      <c r="H160" s="3" t="n"/>
      <c r="I160" s="3" t="n"/>
      <c r="J160" s="3" t="n"/>
      <c r="AF160" s="1" t="n"/>
    </row>
    <row r="161" ht="14.25" customHeight="1" s="101">
      <c r="A161" s="1" t="n"/>
      <c r="D161" s="2" t="n"/>
      <c r="E161" s="2" t="n"/>
      <c r="G161" s="1" t="n"/>
      <c r="H161" s="3" t="n"/>
      <c r="I161" s="3" t="n"/>
      <c r="J161" s="3" t="n"/>
      <c r="AF161" s="1" t="n"/>
    </row>
    <row r="162" ht="14.25" customHeight="1" s="101">
      <c r="A162" s="1" t="n"/>
      <c r="D162" s="2" t="n"/>
      <c r="E162" s="2" t="n"/>
      <c r="G162" s="1" t="n"/>
      <c r="H162" s="3" t="n"/>
      <c r="I162" s="3" t="n"/>
      <c r="J162" s="3" t="n"/>
      <c r="AF162" s="1" t="n"/>
    </row>
    <row r="163" ht="14.25" customHeight="1" s="101">
      <c r="A163" s="1" t="n"/>
      <c r="D163" s="2" t="n"/>
      <c r="E163" s="2" t="n"/>
      <c r="G163" s="1" t="n"/>
      <c r="H163" s="3" t="n"/>
      <c r="I163" s="3" t="n"/>
      <c r="J163" s="3" t="n"/>
      <c r="AF163" s="1" t="n"/>
    </row>
    <row r="164" ht="14.25" customHeight="1" s="101">
      <c r="A164" s="1" t="n"/>
      <c r="D164" s="2" t="n"/>
      <c r="E164" s="2" t="n"/>
      <c r="G164" s="1" t="n"/>
      <c r="H164" s="3" t="n"/>
      <c r="I164" s="3" t="n"/>
      <c r="J164" s="3" t="n"/>
      <c r="AF164" s="1" t="n"/>
    </row>
    <row r="165" ht="14.25" customHeight="1" s="101">
      <c r="A165" s="1" t="n"/>
      <c r="D165" s="2" t="n"/>
      <c r="E165" s="2" t="n"/>
      <c r="G165" s="1" t="n"/>
      <c r="H165" s="3" t="n"/>
      <c r="I165" s="3" t="n"/>
      <c r="J165" s="3" t="n"/>
      <c r="AF165" s="1" t="n"/>
    </row>
    <row r="166" ht="14.25" customHeight="1" s="101">
      <c r="A166" s="1" t="n"/>
      <c r="D166" s="2" t="n"/>
      <c r="E166" s="2" t="n"/>
      <c r="G166" s="1" t="n"/>
      <c r="H166" s="3" t="n"/>
      <c r="I166" s="3" t="n"/>
      <c r="J166" s="3" t="n"/>
      <c r="AF166" s="1" t="n"/>
    </row>
    <row r="167" ht="14.25" customHeight="1" s="101">
      <c r="A167" s="1" t="n"/>
      <c r="D167" s="2" t="n"/>
      <c r="E167" s="2" t="n"/>
      <c r="G167" s="1" t="n"/>
      <c r="H167" s="3" t="n"/>
      <c r="I167" s="3" t="n"/>
      <c r="J167" s="3" t="n"/>
      <c r="AF167" s="1" t="n"/>
    </row>
    <row r="168" ht="14.25" customHeight="1" s="101">
      <c r="A168" s="1" t="n"/>
      <c r="D168" s="2" t="n"/>
      <c r="E168" s="2" t="n"/>
      <c r="G168" s="1" t="n"/>
      <c r="H168" s="3" t="n"/>
      <c r="I168" s="3" t="n"/>
      <c r="J168" s="3" t="n"/>
      <c r="AF168" s="1" t="n"/>
    </row>
    <row r="169" ht="14.25" customHeight="1" s="101">
      <c r="A169" s="1" t="n"/>
      <c r="D169" s="2" t="n"/>
      <c r="E169" s="2" t="n"/>
      <c r="G169" s="1" t="n"/>
      <c r="H169" s="3" t="n"/>
      <c r="I169" s="3" t="n"/>
      <c r="J169" s="3" t="n"/>
      <c r="AF169" s="1" t="n"/>
    </row>
    <row r="170" ht="14.25" customHeight="1" s="101">
      <c r="A170" s="1" t="n"/>
      <c r="D170" s="2" t="n"/>
      <c r="E170" s="2" t="n"/>
      <c r="G170" s="1" t="n"/>
      <c r="H170" s="3" t="n"/>
      <c r="I170" s="3" t="n"/>
      <c r="J170" s="3" t="n"/>
      <c r="AF170" s="1" t="n"/>
    </row>
    <row r="171" ht="14.25" customHeight="1" s="101">
      <c r="A171" s="1" t="n"/>
      <c r="D171" s="2" t="n"/>
      <c r="E171" s="2" t="n"/>
      <c r="G171" s="1" t="n"/>
      <c r="H171" s="3" t="n"/>
      <c r="I171" s="3" t="n"/>
      <c r="J171" s="3" t="n"/>
      <c r="AF171" s="1" t="n"/>
    </row>
    <row r="172" ht="14.25" customHeight="1" s="101">
      <c r="A172" s="1" t="n"/>
      <c r="D172" s="2" t="n"/>
      <c r="E172" s="2" t="n"/>
      <c r="G172" s="1" t="n"/>
      <c r="H172" s="3" t="n"/>
      <c r="I172" s="3" t="n"/>
      <c r="J172" s="3" t="n"/>
      <c r="AF172" s="1" t="n"/>
    </row>
    <row r="173" ht="14.25" customHeight="1" s="101">
      <c r="A173" s="1" t="n"/>
      <c r="D173" s="2" t="n"/>
      <c r="E173" s="2" t="n"/>
      <c r="G173" s="1" t="n"/>
      <c r="H173" s="3" t="n"/>
      <c r="I173" s="3" t="n"/>
      <c r="J173" s="3" t="n"/>
      <c r="AF173" s="1" t="n"/>
    </row>
    <row r="174" ht="14.25" customHeight="1" s="101">
      <c r="A174" s="1" t="n"/>
      <c r="D174" s="2" t="n"/>
      <c r="E174" s="2" t="n"/>
      <c r="G174" s="1" t="n"/>
      <c r="H174" s="3" t="n"/>
      <c r="I174" s="3" t="n"/>
      <c r="J174" s="3" t="n"/>
      <c r="AF174" s="1" t="n"/>
    </row>
    <row r="175" ht="14.25" customHeight="1" s="101">
      <c r="A175" s="1" t="n"/>
      <c r="D175" s="2" t="n"/>
      <c r="E175" s="2" t="n"/>
      <c r="G175" s="1" t="n"/>
      <c r="H175" s="3" t="n"/>
      <c r="I175" s="3" t="n"/>
      <c r="J175" s="3" t="n"/>
      <c r="AF175" s="1" t="n"/>
    </row>
    <row r="176" ht="14.25" customHeight="1" s="101">
      <c r="A176" s="1" t="n"/>
      <c r="D176" s="2" t="n"/>
      <c r="E176" s="2" t="n"/>
      <c r="G176" s="1" t="n"/>
      <c r="H176" s="3" t="n"/>
      <c r="I176" s="3" t="n"/>
      <c r="J176" s="3" t="n"/>
      <c r="AF176" s="1" t="n"/>
    </row>
    <row r="177" ht="14.25" customHeight="1" s="101">
      <c r="A177" s="1" t="n"/>
      <c r="D177" s="2" t="n"/>
      <c r="E177" s="2" t="n"/>
      <c r="G177" s="1" t="n"/>
      <c r="H177" s="3" t="n"/>
      <c r="I177" s="3" t="n"/>
      <c r="J177" s="3" t="n"/>
      <c r="AF177" s="1" t="n"/>
    </row>
    <row r="178" ht="14.25" customHeight="1" s="101">
      <c r="A178" s="1" t="n"/>
      <c r="D178" s="2" t="n"/>
      <c r="E178" s="2" t="n"/>
      <c r="G178" s="1" t="n"/>
      <c r="H178" s="3" t="n"/>
      <c r="I178" s="3" t="n"/>
      <c r="J178" s="3" t="n"/>
      <c r="AF178" s="1" t="n"/>
    </row>
    <row r="179" ht="14.25" customHeight="1" s="101">
      <c r="A179" s="1" t="n"/>
      <c r="D179" s="2" t="n"/>
      <c r="E179" s="2" t="n"/>
      <c r="G179" s="1" t="n"/>
      <c r="H179" s="3" t="n"/>
      <c r="I179" s="3" t="n"/>
      <c r="J179" s="3" t="n"/>
      <c r="AF179" s="1" t="n"/>
    </row>
    <row r="180" ht="14.25" customHeight="1" s="101">
      <c r="A180" s="1" t="n"/>
      <c r="D180" s="2" t="n"/>
      <c r="E180" s="2" t="n"/>
      <c r="G180" s="1" t="n"/>
      <c r="H180" s="3" t="n"/>
      <c r="I180" s="3" t="n"/>
      <c r="J180" s="3" t="n"/>
      <c r="AF180" s="1" t="n"/>
    </row>
    <row r="181" ht="14.25" customHeight="1" s="101">
      <c r="A181" s="1" t="n"/>
      <c r="D181" s="2" t="n"/>
      <c r="E181" s="2" t="n"/>
      <c r="G181" s="1" t="n"/>
      <c r="H181" s="3" t="n"/>
      <c r="I181" s="3" t="n"/>
      <c r="J181" s="3" t="n"/>
      <c r="AF181" s="1" t="n"/>
    </row>
    <row r="182" ht="14.25" customHeight="1" s="101">
      <c r="A182" s="1" t="n"/>
      <c r="D182" s="2" t="n"/>
      <c r="E182" s="2" t="n"/>
      <c r="G182" s="1" t="n"/>
      <c r="H182" s="3" t="n"/>
      <c r="I182" s="3" t="n"/>
      <c r="J182" s="3" t="n"/>
      <c r="AF182" s="1" t="n"/>
    </row>
    <row r="183" ht="14.25" customHeight="1" s="101">
      <c r="A183" s="1" t="n"/>
      <c r="D183" s="2" t="n"/>
      <c r="E183" s="2" t="n"/>
      <c r="G183" s="1" t="n"/>
      <c r="H183" s="3" t="n"/>
      <c r="I183" s="3" t="n"/>
      <c r="J183" s="3" t="n"/>
      <c r="AF183" s="1" t="n"/>
    </row>
    <row r="184" ht="14.25" customHeight="1" s="101">
      <c r="A184" s="1" t="n"/>
      <c r="D184" s="2" t="n"/>
      <c r="E184" s="2" t="n"/>
      <c r="G184" s="1" t="n"/>
      <c r="H184" s="3" t="n"/>
      <c r="I184" s="3" t="n"/>
      <c r="J184" s="3" t="n"/>
      <c r="AF184" s="1" t="n"/>
    </row>
    <row r="185" ht="14.25" customHeight="1" s="101">
      <c r="A185" s="1" t="n"/>
      <c r="D185" s="2" t="n"/>
      <c r="E185" s="2" t="n"/>
      <c r="G185" s="1" t="n"/>
      <c r="H185" s="3" t="n"/>
      <c r="I185" s="3" t="n"/>
      <c r="J185" s="3" t="n"/>
      <c r="AF185" s="1" t="n"/>
    </row>
    <row r="186" ht="14.25" customHeight="1" s="101">
      <c r="A186" s="1" t="n"/>
      <c r="D186" s="2" t="n"/>
      <c r="E186" s="2" t="n"/>
      <c r="G186" s="1" t="n"/>
      <c r="H186" s="3" t="n"/>
      <c r="I186" s="3" t="n"/>
      <c r="J186" s="3" t="n"/>
      <c r="AF186" s="1" t="n"/>
    </row>
    <row r="187" ht="14.25" customHeight="1" s="101">
      <c r="A187" s="1" t="n"/>
      <c r="D187" s="2" t="n"/>
      <c r="E187" s="2" t="n"/>
      <c r="G187" s="1" t="n"/>
      <c r="H187" s="3" t="n"/>
      <c r="I187" s="3" t="n"/>
      <c r="J187" s="3" t="n"/>
      <c r="AF187" s="1" t="n"/>
    </row>
    <row r="188" ht="14.25" customHeight="1" s="101">
      <c r="A188" s="1" t="n"/>
      <c r="D188" s="2" t="n"/>
      <c r="E188" s="2" t="n"/>
      <c r="G188" s="1" t="n"/>
      <c r="H188" s="3" t="n"/>
      <c r="I188" s="3" t="n"/>
      <c r="J188" s="3" t="n"/>
      <c r="AF188" s="1" t="n"/>
    </row>
    <row r="189" ht="14.25" customHeight="1" s="101">
      <c r="A189" s="1" t="n"/>
      <c r="D189" s="2" t="n"/>
      <c r="E189" s="2" t="n"/>
      <c r="G189" s="1" t="n"/>
      <c r="H189" s="3" t="n"/>
      <c r="I189" s="3" t="n"/>
      <c r="J189" s="3" t="n"/>
      <c r="AF189" s="1" t="n"/>
    </row>
    <row r="190" ht="14.25" customHeight="1" s="101">
      <c r="A190" s="1" t="n"/>
      <c r="D190" s="2" t="n"/>
      <c r="E190" s="2" t="n"/>
      <c r="G190" s="1" t="n"/>
      <c r="H190" s="3" t="n"/>
      <c r="I190" s="3" t="n"/>
      <c r="J190" s="3" t="n"/>
      <c r="AF190" s="1" t="n"/>
    </row>
    <row r="191" ht="14.25" customHeight="1" s="101">
      <c r="A191" s="1" t="n"/>
      <c r="D191" s="2" t="n"/>
      <c r="E191" s="2" t="n"/>
      <c r="G191" s="1" t="n"/>
      <c r="H191" s="3" t="n"/>
      <c r="I191" s="3" t="n"/>
      <c r="J191" s="3" t="n"/>
      <c r="AF191" s="1" t="n"/>
    </row>
    <row r="192" ht="14.25" customHeight="1" s="101">
      <c r="A192" s="1" t="n"/>
      <c r="D192" s="2" t="n"/>
      <c r="E192" s="2" t="n"/>
      <c r="G192" s="1" t="n"/>
      <c r="H192" s="3" t="n"/>
      <c r="I192" s="3" t="n"/>
      <c r="J192" s="3" t="n"/>
      <c r="AF192" s="1" t="n"/>
    </row>
    <row r="193" ht="14.25" customHeight="1" s="101">
      <c r="A193" s="1" t="n"/>
      <c r="D193" s="2" t="n"/>
      <c r="E193" s="2" t="n"/>
      <c r="G193" s="1" t="n"/>
      <c r="H193" s="3" t="n"/>
      <c r="I193" s="3" t="n"/>
      <c r="J193" s="3" t="n"/>
      <c r="AF193" s="1" t="n"/>
    </row>
    <row r="194" ht="14.25" customHeight="1" s="101">
      <c r="A194" s="1" t="n"/>
      <c r="D194" s="2" t="n"/>
      <c r="E194" s="2" t="n"/>
      <c r="G194" s="1" t="n"/>
      <c r="H194" s="3" t="n"/>
      <c r="I194" s="3" t="n"/>
      <c r="J194" s="3" t="n"/>
      <c r="AF194" s="1" t="n"/>
    </row>
    <row r="195" ht="14.25" customHeight="1" s="101">
      <c r="A195" s="1" t="n"/>
      <c r="D195" s="2" t="n"/>
      <c r="E195" s="2" t="n"/>
      <c r="G195" s="1" t="n"/>
      <c r="H195" s="3" t="n"/>
      <c r="I195" s="3" t="n"/>
      <c r="J195" s="3" t="n"/>
      <c r="AF195" s="1" t="n"/>
    </row>
    <row r="196" ht="14.25" customHeight="1" s="101">
      <c r="A196" s="1" t="n"/>
      <c r="D196" s="2" t="n"/>
      <c r="E196" s="2" t="n"/>
      <c r="G196" s="1" t="n"/>
      <c r="H196" s="3" t="n"/>
      <c r="I196" s="3" t="n"/>
      <c r="J196" s="3" t="n"/>
      <c r="AF196" s="1" t="n"/>
    </row>
    <row r="197" ht="14.25" customHeight="1" s="101">
      <c r="A197" s="1" t="n"/>
      <c r="D197" s="2" t="n"/>
      <c r="E197" s="2" t="n"/>
      <c r="G197" s="1" t="n"/>
      <c r="H197" s="3" t="n"/>
      <c r="I197" s="3" t="n"/>
      <c r="J197" s="3" t="n"/>
      <c r="AF197" s="1" t="n"/>
    </row>
    <row r="198" ht="14.25" customHeight="1" s="101">
      <c r="A198" s="1" t="n"/>
      <c r="D198" s="2" t="n"/>
      <c r="E198" s="2" t="n"/>
      <c r="G198" s="1" t="n"/>
      <c r="H198" s="3" t="n"/>
      <c r="I198" s="3" t="n"/>
      <c r="J198" s="3" t="n"/>
      <c r="AF198" s="1" t="n"/>
    </row>
    <row r="199" ht="14.25" customHeight="1" s="101">
      <c r="A199" s="1" t="n"/>
      <c r="D199" s="2" t="n"/>
      <c r="E199" s="2" t="n"/>
      <c r="G199" s="1" t="n"/>
      <c r="H199" s="3" t="n"/>
      <c r="I199" s="3" t="n"/>
      <c r="J199" s="3" t="n"/>
      <c r="AF199" s="1" t="n"/>
    </row>
    <row r="200" ht="14.25" customHeight="1" s="101">
      <c r="A200" s="1" t="n"/>
      <c r="D200" s="2" t="n"/>
      <c r="E200" s="2" t="n"/>
      <c r="G200" s="1" t="n"/>
      <c r="H200" s="3" t="n"/>
      <c r="I200" s="3" t="n"/>
      <c r="J200" s="3" t="n"/>
      <c r="AF200" s="1" t="n"/>
    </row>
    <row r="201" ht="14.25" customHeight="1" s="101">
      <c r="A201" s="1" t="n"/>
      <c r="D201" s="2" t="n"/>
      <c r="E201" s="2" t="n"/>
      <c r="G201" s="1" t="n"/>
      <c r="H201" s="3" t="n"/>
      <c r="I201" s="3" t="n"/>
      <c r="J201" s="3" t="n"/>
      <c r="AF201" s="1" t="n"/>
    </row>
    <row r="202" ht="14.25" customHeight="1" s="101">
      <c r="A202" s="1" t="n"/>
      <c r="D202" s="2" t="n"/>
      <c r="E202" s="2" t="n"/>
      <c r="G202" s="1" t="n"/>
      <c r="H202" s="3" t="n"/>
      <c r="I202" s="3" t="n"/>
      <c r="J202" s="3" t="n"/>
      <c r="AF202" s="1" t="n"/>
    </row>
    <row r="203" ht="14.25" customHeight="1" s="101">
      <c r="A203" s="1" t="n"/>
      <c r="D203" s="2" t="n"/>
      <c r="E203" s="2" t="n"/>
      <c r="G203" s="1" t="n"/>
      <c r="H203" s="3" t="n"/>
      <c r="I203" s="3" t="n"/>
      <c r="J203" s="3" t="n"/>
      <c r="AF203" s="1" t="n"/>
    </row>
    <row r="204" ht="14.25" customHeight="1" s="101">
      <c r="A204" s="1" t="n"/>
      <c r="D204" s="2" t="n"/>
      <c r="E204" s="2" t="n"/>
      <c r="G204" s="1" t="n"/>
      <c r="H204" s="3" t="n"/>
      <c r="I204" s="3" t="n"/>
      <c r="J204" s="3" t="n"/>
      <c r="AF204" s="1" t="n"/>
    </row>
    <row r="205" ht="14.25" customHeight="1" s="101">
      <c r="A205" s="1" t="n"/>
      <c r="D205" s="2" t="n"/>
      <c r="E205" s="2" t="n"/>
      <c r="G205" s="1" t="n"/>
      <c r="H205" s="3" t="n"/>
      <c r="I205" s="3" t="n"/>
      <c r="J205" s="3" t="n"/>
      <c r="AF205" s="1" t="n"/>
    </row>
    <row r="206" ht="14.25" customHeight="1" s="101">
      <c r="A206" s="1" t="n"/>
      <c r="D206" s="2" t="n"/>
      <c r="E206" s="2" t="n"/>
      <c r="G206" s="1" t="n"/>
      <c r="H206" s="3" t="n"/>
      <c r="I206" s="3" t="n"/>
      <c r="J206" s="3" t="n"/>
      <c r="AF206" s="1" t="n"/>
    </row>
    <row r="207" ht="14.25" customHeight="1" s="101">
      <c r="A207" s="1" t="n"/>
      <c r="D207" s="2" t="n"/>
      <c r="E207" s="2" t="n"/>
      <c r="G207" s="1" t="n"/>
      <c r="H207" s="3" t="n"/>
      <c r="I207" s="3" t="n"/>
      <c r="J207" s="3" t="n"/>
      <c r="AF207" s="1" t="n"/>
    </row>
    <row r="208" ht="14.25" customHeight="1" s="101">
      <c r="A208" s="1" t="n"/>
      <c r="D208" s="2" t="n"/>
      <c r="E208" s="2" t="n"/>
      <c r="G208" s="1" t="n"/>
      <c r="H208" s="3" t="n"/>
      <c r="I208" s="3" t="n"/>
      <c r="J208" s="3" t="n"/>
      <c r="AF208" s="1" t="n"/>
    </row>
    <row r="209" ht="14.25" customHeight="1" s="101">
      <c r="A209" s="1" t="n"/>
      <c r="D209" s="2" t="n"/>
      <c r="E209" s="2" t="n"/>
      <c r="G209" s="1" t="n"/>
      <c r="H209" s="3" t="n"/>
      <c r="I209" s="3" t="n"/>
      <c r="J209" s="3" t="n"/>
      <c r="AF209" s="1" t="n"/>
    </row>
    <row r="210" ht="14.25" customHeight="1" s="101">
      <c r="A210" s="1" t="n"/>
      <c r="D210" s="2" t="n"/>
      <c r="E210" s="2" t="n"/>
      <c r="G210" s="1" t="n"/>
      <c r="H210" s="3" t="n"/>
      <c r="I210" s="3" t="n"/>
      <c r="J210" s="3" t="n"/>
      <c r="AF210" s="1" t="n"/>
    </row>
    <row r="211" ht="14.25" customHeight="1" s="101">
      <c r="A211" s="1" t="n"/>
      <c r="D211" s="2" t="n"/>
      <c r="E211" s="2" t="n"/>
      <c r="G211" s="1" t="n"/>
      <c r="H211" s="3" t="n"/>
      <c r="I211" s="3" t="n"/>
      <c r="J211" s="3" t="n"/>
      <c r="AF211" s="1" t="n"/>
    </row>
    <row r="212" ht="14.25" customHeight="1" s="101">
      <c r="A212" s="1" t="n"/>
      <c r="D212" s="2" t="n"/>
      <c r="E212" s="2" t="n"/>
      <c r="G212" s="1" t="n"/>
      <c r="H212" s="3" t="n"/>
      <c r="I212" s="3" t="n"/>
      <c r="J212" s="3" t="n"/>
      <c r="AF212" s="1" t="n"/>
    </row>
    <row r="213" ht="14.25" customHeight="1" s="101">
      <c r="A213" s="1" t="n"/>
      <c r="D213" s="2" t="n"/>
      <c r="E213" s="2" t="n"/>
      <c r="G213" s="1" t="n"/>
      <c r="H213" s="3" t="n"/>
      <c r="I213" s="3" t="n"/>
      <c r="J213" s="3" t="n"/>
      <c r="AF213" s="1" t="n"/>
    </row>
    <row r="214" ht="14.25" customHeight="1" s="101">
      <c r="A214" s="1" t="n"/>
      <c r="D214" s="2" t="n"/>
      <c r="E214" s="2" t="n"/>
      <c r="G214" s="1" t="n"/>
      <c r="H214" s="3" t="n"/>
      <c r="I214" s="3" t="n"/>
      <c r="J214" s="3" t="n"/>
      <c r="AF214" s="1" t="n"/>
    </row>
    <row r="215" ht="14.25" customHeight="1" s="101">
      <c r="A215" s="1" t="n"/>
      <c r="D215" s="2" t="n"/>
      <c r="E215" s="2" t="n"/>
      <c r="G215" s="1" t="n"/>
      <c r="H215" s="3" t="n"/>
      <c r="I215" s="3" t="n"/>
      <c r="J215" s="3" t="n"/>
      <c r="AF215" s="1" t="n"/>
    </row>
    <row r="216" ht="14.25" customHeight="1" s="101">
      <c r="A216" s="1" t="n"/>
      <c r="D216" s="2" t="n"/>
      <c r="E216" s="2" t="n"/>
      <c r="G216" s="1" t="n"/>
      <c r="H216" s="3" t="n"/>
      <c r="I216" s="3" t="n"/>
      <c r="J216" s="3" t="n"/>
      <c r="AF216" s="1" t="n"/>
    </row>
    <row r="217" ht="14.25" customHeight="1" s="101">
      <c r="A217" s="1" t="n"/>
      <c r="D217" s="2" t="n"/>
      <c r="E217" s="2" t="n"/>
      <c r="G217" s="1" t="n"/>
      <c r="H217" s="3" t="n"/>
      <c r="I217" s="3" t="n"/>
      <c r="J217" s="3" t="n"/>
      <c r="AF217" s="1" t="n"/>
    </row>
    <row r="218" ht="14.25" customHeight="1" s="101">
      <c r="A218" s="1" t="n"/>
      <c r="D218" s="2" t="n"/>
      <c r="E218" s="2" t="n"/>
      <c r="G218" s="1" t="n"/>
      <c r="H218" s="3" t="n"/>
      <c r="I218" s="3" t="n"/>
      <c r="J218" s="3" t="n"/>
      <c r="AF218" s="1" t="n"/>
    </row>
    <row r="219" ht="14.25" customHeight="1" s="101">
      <c r="A219" s="1" t="n"/>
      <c r="D219" s="2" t="n"/>
      <c r="E219" s="2" t="n"/>
      <c r="G219" s="1" t="n"/>
      <c r="H219" s="3" t="n"/>
      <c r="I219" s="3" t="n"/>
      <c r="J219" s="3" t="n"/>
      <c r="AF219" s="1" t="n"/>
    </row>
    <row r="220" ht="14.25" customHeight="1" s="101">
      <c r="A220" s="1" t="n"/>
      <c r="D220" s="2" t="n"/>
      <c r="E220" s="2" t="n"/>
      <c r="G220" s="1" t="n"/>
      <c r="H220" s="3" t="n"/>
      <c r="I220" s="3" t="n"/>
      <c r="J220" s="3" t="n"/>
      <c r="AF220" s="1" t="n"/>
    </row>
    <row r="221" ht="14.25" customHeight="1" s="101">
      <c r="A221" s="1" t="n"/>
      <c r="D221" s="2" t="n"/>
      <c r="E221" s="2" t="n"/>
      <c r="G221" s="1" t="n"/>
      <c r="H221" s="3" t="n"/>
      <c r="I221" s="3" t="n"/>
      <c r="J221" s="3" t="n"/>
      <c r="AF221" s="1" t="n"/>
    </row>
    <row r="222" ht="14.25" customHeight="1" s="101">
      <c r="A222" s="1" t="n"/>
      <c r="D222" s="2" t="n"/>
      <c r="E222" s="2" t="n"/>
      <c r="G222" s="1" t="n"/>
      <c r="H222" s="3" t="n"/>
      <c r="I222" s="3" t="n"/>
      <c r="J222" s="3" t="n"/>
      <c r="AF222" s="1" t="n"/>
    </row>
    <row r="223" ht="14.25" customHeight="1" s="101">
      <c r="A223" s="1" t="n"/>
      <c r="D223" s="2" t="n"/>
      <c r="E223" s="2" t="n"/>
      <c r="G223" s="1" t="n"/>
      <c r="H223" s="3" t="n"/>
      <c r="I223" s="3" t="n"/>
      <c r="J223" s="3" t="n"/>
      <c r="AF223" s="1" t="n"/>
    </row>
    <row r="224" ht="14.25" customHeight="1" s="101">
      <c r="A224" s="1" t="n"/>
      <c r="D224" s="2" t="n"/>
      <c r="E224" s="2" t="n"/>
      <c r="G224" s="1" t="n"/>
      <c r="H224" s="3" t="n"/>
      <c r="I224" s="3" t="n"/>
      <c r="J224" s="3" t="n"/>
      <c r="AF224" s="1" t="n"/>
    </row>
    <row r="225" ht="14.25" customHeight="1" s="101">
      <c r="A225" s="1" t="n"/>
      <c r="D225" s="2" t="n"/>
      <c r="E225" s="2" t="n"/>
      <c r="G225" s="1" t="n"/>
      <c r="H225" s="3" t="n"/>
      <c r="I225" s="3" t="n"/>
      <c r="J225" s="3" t="n"/>
      <c r="AF225" s="1" t="n"/>
    </row>
    <row r="226" ht="14.25" customHeight="1" s="101">
      <c r="A226" s="1" t="n"/>
      <c r="D226" s="2" t="n"/>
      <c r="E226" s="2" t="n"/>
      <c r="G226" s="1" t="n"/>
      <c r="H226" s="3" t="n"/>
      <c r="I226" s="3" t="n"/>
      <c r="J226" s="3" t="n"/>
      <c r="AF226" s="1" t="n"/>
    </row>
    <row r="227" ht="14.25" customHeight="1" s="101">
      <c r="A227" s="1" t="n"/>
      <c r="D227" s="2" t="n"/>
      <c r="E227" s="2" t="n"/>
      <c r="G227" s="1" t="n"/>
      <c r="H227" s="3" t="n"/>
      <c r="I227" s="3" t="n"/>
      <c r="J227" s="3" t="n"/>
      <c r="AF227" s="1" t="n"/>
    </row>
    <row r="228" ht="14.25" customHeight="1" s="101">
      <c r="A228" s="1" t="n"/>
      <c r="D228" s="2" t="n"/>
      <c r="E228" s="2" t="n"/>
      <c r="G228" s="1" t="n"/>
      <c r="H228" s="3" t="n"/>
      <c r="I228" s="3" t="n"/>
      <c r="J228" s="3" t="n"/>
      <c r="AF228" s="1" t="n"/>
    </row>
    <row r="229" ht="14.25" customHeight="1" s="101">
      <c r="A229" s="1" t="n"/>
      <c r="D229" s="2" t="n"/>
      <c r="E229" s="2" t="n"/>
      <c r="G229" s="1" t="n"/>
      <c r="H229" s="3" t="n"/>
      <c r="I229" s="3" t="n"/>
      <c r="J229" s="3" t="n"/>
      <c r="AF229" s="1" t="n"/>
    </row>
    <row r="230" ht="14.25" customHeight="1" s="101">
      <c r="A230" s="1" t="n"/>
      <c r="D230" s="2" t="n"/>
      <c r="E230" s="2" t="n"/>
      <c r="G230" s="1" t="n"/>
      <c r="H230" s="3" t="n"/>
      <c r="I230" s="3" t="n"/>
      <c r="J230" s="3" t="n"/>
      <c r="AF230" s="1" t="n"/>
    </row>
    <row r="231" ht="14.25" customHeight="1" s="101">
      <c r="A231" s="1" t="n"/>
      <c r="D231" s="2" t="n"/>
      <c r="E231" s="2" t="n"/>
      <c r="G231" s="1" t="n"/>
      <c r="H231" s="3" t="n"/>
      <c r="I231" s="3" t="n"/>
      <c r="J231" s="3" t="n"/>
      <c r="AF231" s="1" t="n"/>
    </row>
    <row r="232" ht="14.25" customHeight="1" s="101">
      <c r="A232" s="1" t="n"/>
      <c r="D232" s="2" t="n"/>
      <c r="E232" s="2" t="n"/>
      <c r="G232" s="1" t="n"/>
      <c r="H232" s="3" t="n"/>
      <c r="I232" s="3" t="n"/>
      <c r="J232" s="3" t="n"/>
      <c r="AF232" s="1" t="n"/>
    </row>
    <row r="233" ht="14.25" customHeight="1" s="101">
      <c r="A233" s="1" t="n"/>
      <c r="D233" s="2" t="n"/>
      <c r="E233" s="2" t="n"/>
      <c r="G233" s="1" t="n"/>
      <c r="H233" s="3" t="n"/>
      <c r="I233" s="3" t="n"/>
      <c r="J233" s="3" t="n"/>
      <c r="AF233" s="1" t="n"/>
    </row>
    <row r="234" ht="14.25" customHeight="1" s="101">
      <c r="A234" s="1" t="n"/>
      <c r="D234" s="2" t="n"/>
      <c r="E234" s="2" t="n"/>
      <c r="G234" s="1" t="n"/>
      <c r="H234" s="3" t="n"/>
      <c r="I234" s="3" t="n"/>
      <c r="J234" s="3" t="n"/>
      <c r="AF234" s="1" t="n"/>
    </row>
    <row r="235" ht="14.25" customHeight="1" s="101">
      <c r="A235" s="1" t="n"/>
      <c r="D235" s="2" t="n"/>
      <c r="E235" s="2" t="n"/>
      <c r="G235" s="1" t="n"/>
      <c r="H235" s="3" t="n"/>
      <c r="I235" s="3" t="n"/>
      <c r="J235" s="3" t="n"/>
      <c r="AF235" s="1" t="n"/>
    </row>
    <row r="236" ht="14.25" customHeight="1" s="101">
      <c r="A236" s="1" t="n"/>
      <c r="D236" s="2" t="n"/>
      <c r="E236" s="2" t="n"/>
      <c r="G236" s="1" t="n"/>
      <c r="H236" s="3" t="n"/>
      <c r="I236" s="3" t="n"/>
      <c r="J236" s="3" t="n"/>
      <c r="AF236" s="1" t="n"/>
    </row>
    <row r="237" ht="14.25" customHeight="1" s="101">
      <c r="A237" s="1" t="n"/>
      <c r="D237" s="2" t="n"/>
      <c r="E237" s="2" t="n"/>
      <c r="G237" s="1" t="n"/>
      <c r="H237" s="3" t="n"/>
      <c r="I237" s="3" t="n"/>
      <c r="J237" s="3" t="n"/>
      <c r="AF237" s="1" t="n"/>
    </row>
    <row r="238" ht="14.25" customHeight="1" s="101">
      <c r="A238" s="1" t="n"/>
      <c r="D238" s="2" t="n"/>
      <c r="E238" s="2" t="n"/>
      <c r="G238" s="1" t="n"/>
      <c r="H238" s="3" t="n"/>
      <c r="I238" s="3" t="n"/>
      <c r="J238" s="3" t="n"/>
      <c r="AF238" s="1" t="n"/>
    </row>
    <row r="239" ht="14.25" customHeight="1" s="101">
      <c r="A239" s="1" t="n"/>
      <c r="D239" s="2" t="n"/>
      <c r="E239" s="2" t="n"/>
      <c r="G239" s="1" t="n"/>
      <c r="H239" s="3" t="n"/>
      <c r="I239" s="3" t="n"/>
      <c r="J239" s="3" t="n"/>
      <c r="AF239" s="1" t="n"/>
    </row>
    <row r="240" ht="14.25" customHeight="1" s="101">
      <c r="A240" s="1" t="n"/>
      <c r="D240" s="2" t="n"/>
      <c r="E240" s="2" t="n"/>
      <c r="G240" s="1" t="n"/>
      <c r="H240" s="3" t="n"/>
      <c r="I240" s="3" t="n"/>
      <c r="J240" s="3" t="n"/>
      <c r="AF240" s="1" t="n"/>
    </row>
    <row r="241" ht="14.25" customHeight="1" s="101">
      <c r="A241" s="1" t="n"/>
      <c r="D241" s="2" t="n"/>
      <c r="E241" s="2" t="n"/>
      <c r="G241" s="1" t="n"/>
      <c r="H241" s="3" t="n"/>
      <c r="I241" s="3" t="n"/>
      <c r="J241" s="3" t="n"/>
      <c r="AF241" s="1" t="n"/>
    </row>
    <row r="242" ht="14.25" customHeight="1" s="101">
      <c r="A242" s="1" t="n"/>
      <c r="D242" s="2" t="n"/>
      <c r="E242" s="2" t="n"/>
      <c r="G242" s="1" t="n"/>
      <c r="H242" s="3" t="n"/>
      <c r="I242" s="3" t="n"/>
      <c r="J242" s="3" t="n"/>
      <c r="AF242" s="1" t="n"/>
    </row>
    <row r="243" ht="14.25" customHeight="1" s="101">
      <c r="A243" s="1" t="n"/>
      <c r="D243" s="2" t="n"/>
      <c r="E243" s="2" t="n"/>
      <c r="G243" s="1" t="n"/>
      <c r="H243" s="3" t="n"/>
      <c r="I243" s="3" t="n"/>
      <c r="J243" s="3" t="n"/>
      <c r="AF243" s="1" t="n"/>
    </row>
    <row r="244" ht="14.25" customHeight="1" s="101">
      <c r="A244" s="1" t="n"/>
      <c r="D244" s="2" t="n"/>
      <c r="E244" s="2" t="n"/>
      <c r="G244" s="1" t="n"/>
      <c r="H244" s="3" t="n"/>
      <c r="I244" s="3" t="n"/>
      <c r="J244" s="3" t="n"/>
      <c r="AF244" s="1" t="n"/>
    </row>
    <row r="245" ht="14.25" customHeight="1" s="101">
      <c r="A245" s="1" t="n"/>
      <c r="D245" s="2" t="n"/>
      <c r="E245" s="2" t="n"/>
      <c r="G245" s="1" t="n"/>
      <c r="H245" s="3" t="n"/>
      <c r="I245" s="3" t="n"/>
      <c r="J245" s="3" t="n"/>
      <c r="AF245" s="1" t="n"/>
    </row>
    <row r="246" ht="14.25" customHeight="1" s="101">
      <c r="A246" s="1" t="n"/>
      <c r="D246" s="2" t="n"/>
      <c r="E246" s="2" t="n"/>
      <c r="G246" s="1" t="n"/>
      <c r="H246" s="3" t="n"/>
      <c r="I246" s="3" t="n"/>
      <c r="J246" s="3" t="n"/>
      <c r="AF246" s="1" t="n"/>
    </row>
    <row r="247" ht="14.25" customHeight="1" s="101">
      <c r="A247" s="1" t="n"/>
      <c r="D247" s="2" t="n"/>
      <c r="E247" s="2" t="n"/>
      <c r="G247" s="1" t="n"/>
      <c r="H247" s="3" t="n"/>
      <c r="I247" s="3" t="n"/>
      <c r="J247" s="3" t="n"/>
      <c r="AF247" s="1" t="n"/>
    </row>
    <row r="248" ht="14.25" customHeight="1" s="101">
      <c r="A248" s="1" t="n"/>
      <c r="D248" s="2" t="n"/>
      <c r="E248" s="2" t="n"/>
      <c r="G248" s="1" t="n"/>
      <c r="H248" s="3" t="n"/>
      <c r="I248" s="3" t="n"/>
      <c r="J248" s="3" t="n"/>
      <c r="AF248" s="1" t="n"/>
    </row>
    <row r="249" ht="14.25" customHeight="1" s="101">
      <c r="A249" s="1" t="n"/>
      <c r="D249" s="2" t="n"/>
      <c r="E249" s="2" t="n"/>
      <c r="G249" s="1" t="n"/>
      <c r="H249" s="3" t="n"/>
      <c r="I249" s="3" t="n"/>
      <c r="J249" s="3" t="n"/>
      <c r="AF249" s="1" t="n"/>
    </row>
    <row r="250" ht="14.25" customHeight="1" s="101">
      <c r="A250" s="1" t="n"/>
      <c r="D250" s="2" t="n"/>
      <c r="E250" s="2" t="n"/>
      <c r="G250" s="1" t="n"/>
      <c r="H250" s="3" t="n"/>
      <c r="I250" s="3" t="n"/>
      <c r="J250" s="3" t="n"/>
      <c r="AF250" s="1" t="n"/>
    </row>
    <row r="251" ht="14.25" customHeight="1" s="101">
      <c r="A251" s="1" t="n"/>
      <c r="D251" s="2" t="n"/>
      <c r="E251" s="2" t="n"/>
      <c r="G251" s="1" t="n"/>
      <c r="H251" s="3" t="n"/>
      <c r="I251" s="3" t="n"/>
      <c r="J251" s="3" t="n"/>
      <c r="AF251" s="1" t="n"/>
    </row>
    <row r="252" ht="14.25" customHeight="1" s="101">
      <c r="A252" s="1" t="n"/>
      <c r="D252" s="2" t="n"/>
      <c r="E252" s="2" t="n"/>
      <c r="G252" s="1" t="n"/>
      <c r="H252" s="3" t="n"/>
      <c r="I252" s="3" t="n"/>
      <c r="J252" s="3" t="n"/>
      <c r="AF252" s="1" t="n"/>
    </row>
    <row r="253" ht="14.25" customHeight="1" s="101">
      <c r="A253" s="1" t="n"/>
      <c r="D253" s="2" t="n"/>
      <c r="E253" s="2" t="n"/>
      <c r="G253" s="1" t="n"/>
      <c r="H253" s="3" t="n"/>
      <c r="I253" s="3" t="n"/>
      <c r="J253" s="3" t="n"/>
      <c r="AF253" s="1" t="n"/>
    </row>
    <row r="254" ht="14.25" customHeight="1" s="101">
      <c r="A254" s="1" t="n"/>
      <c r="D254" s="2" t="n"/>
      <c r="E254" s="2" t="n"/>
      <c r="G254" s="1" t="n"/>
      <c r="H254" s="3" t="n"/>
      <c r="I254" s="3" t="n"/>
      <c r="J254" s="3" t="n"/>
      <c r="AF254" s="1" t="n"/>
    </row>
    <row r="255" ht="14.25" customHeight="1" s="101">
      <c r="A255" s="1" t="n"/>
      <c r="D255" s="2" t="n"/>
      <c r="E255" s="2" t="n"/>
      <c r="G255" s="1" t="n"/>
      <c r="H255" s="3" t="n"/>
      <c r="I255" s="3" t="n"/>
      <c r="J255" s="3" t="n"/>
      <c r="AF255" s="1" t="n"/>
    </row>
    <row r="256" ht="14.25" customHeight="1" s="101">
      <c r="A256" s="1" t="n"/>
      <c r="D256" s="2" t="n"/>
      <c r="E256" s="2" t="n"/>
      <c r="G256" s="1" t="n"/>
      <c r="H256" s="3" t="n"/>
      <c r="I256" s="3" t="n"/>
      <c r="J256" s="3" t="n"/>
      <c r="AF256" s="1" t="n"/>
    </row>
    <row r="257" ht="14.25" customHeight="1" s="101">
      <c r="A257" s="1" t="n"/>
      <c r="D257" s="2" t="n"/>
      <c r="E257" s="2" t="n"/>
      <c r="G257" s="1" t="n"/>
      <c r="H257" s="3" t="n"/>
      <c r="I257" s="3" t="n"/>
      <c r="J257" s="3" t="n"/>
      <c r="AF257" s="1" t="n"/>
    </row>
    <row r="258" ht="14.25" customHeight="1" s="101">
      <c r="A258" s="1" t="n"/>
      <c r="D258" s="2" t="n"/>
      <c r="E258" s="2" t="n"/>
      <c r="G258" s="1" t="n"/>
      <c r="H258" s="3" t="n"/>
      <c r="I258" s="3" t="n"/>
      <c r="J258" s="3" t="n"/>
      <c r="AF258" s="1" t="n"/>
    </row>
    <row r="259" ht="14.25" customHeight="1" s="101">
      <c r="A259" s="1" t="n"/>
      <c r="D259" s="2" t="n"/>
      <c r="E259" s="2" t="n"/>
      <c r="G259" s="1" t="n"/>
      <c r="H259" s="3" t="n"/>
      <c r="I259" s="3" t="n"/>
      <c r="J259" s="3" t="n"/>
      <c r="AF259" s="1" t="n"/>
    </row>
    <row r="260" ht="14.25" customHeight="1" s="101">
      <c r="A260" s="1" t="n"/>
      <c r="D260" s="2" t="n"/>
      <c r="E260" s="2" t="n"/>
      <c r="G260" s="1" t="n"/>
      <c r="H260" s="3" t="n"/>
      <c r="I260" s="3" t="n"/>
      <c r="J260" s="3" t="n"/>
      <c r="AF260" s="1" t="n"/>
    </row>
    <row r="261" ht="14.25" customHeight="1" s="101">
      <c r="A261" s="1" t="n"/>
      <c r="D261" s="2" t="n"/>
      <c r="E261" s="2" t="n"/>
      <c r="G261" s="1" t="n"/>
      <c r="H261" s="3" t="n"/>
      <c r="I261" s="3" t="n"/>
      <c r="J261" s="3" t="n"/>
      <c r="AF261" s="1" t="n"/>
    </row>
    <row r="262" ht="14.25" customHeight="1" s="101">
      <c r="A262" s="1" t="n"/>
      <c r="D262" s="2" t="n"/>
      <c r="E262" s="2" t="n"/>
      <c r="G262" s="1" t="n"/>
      <c r="H262" s="3" t="n"/>
      <c r="I262" s="3" t="n"/>
      <c r="J262" s="3" t="n"/>
      <c r="AF262" s="1" t="n"/>
    </row>
    <row r="263" ht="14.25" customHeight="1" s="101">
      <c r="A263" s="1" t="n"/>
      <c r="D263" s="2" t="n"/>
      <c r="E263" s="2" t="n"/>
      <c r="G263" s="1" t="n"/>
      <c r="H263" s="3" t="n"/>
      <c r="I263" s="3" t="n"/>
      <c r="J263" s="3" t="n"/>
      <c r="AF263" s="1" t="n"/>
    </row>
    <row r="264" ht="14.25" customHeight="1" s="101">
      <c r="A264" s="1" t="n"/>
      <c r="D264" s="2" t="n"/>
      <c r="E264" s="2" t="n"/>
      <c r="G264" s="1" t="n"/>
      <c r="H264" s="3" t="n"/>
      <c r="I264" s="3" t="n"/>
      <c r="J264" s="3" t="n"/>
      <c r="AF264" s="1" t="n"/>
    </row>
    <row r="265" ht="14.25" customHeight="1" s="101">
      <c r="A265" s="1" t="n"/>
      <c r="D265" s="2" t="n"/>
      <c r="E265" s="2" t="n"/>
      <c r="G265" s="1" t="n"/>
      <c r="H265" s="3" t="n"/>
      <c r="I265" s="3" t="n"/>
      <c r="J265" s="3" t="n"/>
      <c r="AF265" s="1" t="n"/>
    </row>
    <row r="266" ht="14.25" customHeight="1" s="101">
      <c r="A266" s="1" t="n"/>
      <c r="D266" s="2" t="n"/>
      <c r="E266" s="2" t="n"/>
      <c r="G266" s="1" t="n"/>
      <c r="H266" s="3" t="n"/>
      <c r="I266" s="3" t="n"/>
      <c r="J266" s="3" t="n"/>
      <c r="AF266" s="1" t="n"/>
    </row>
    <row r="267" ht="14.25" customHeight="1" s="101">
      <c r="A267" s="1" t="n"/>
      <c r="D267" s="2" t="n"/>
      <c r="E267" s="2" t="n"/>
      <c r="G267" s="1" t="n"/>
      <c r="H267" s="3" t="n"/>
      <c r="I267" s="3" t="n"/>
      <c r="J267" s="3" t="n"/>
      <c r="AF267" s="1" t="n"/>
    </row>
    <row r="268" ht="14.25" customHeight="1" s="101">
      <c r="A268" s="1" t="n"/>
      <c r="D268" s="2" t="n"/>
      <c r="E268" s="2" t="n"/>
      <c r="G268" s="1" t="n"/>
      <c r="H268" s="3" t="n"/>
      <c r="I268" s="3" t="n"/>
      <c r="J268" s="3" t="n"/>
      <c r="AF268" s="1" t="n"/>
    </row>
    <row r="269" ht="14.25" customHeight="1" s="101">
      <c r="A269" s="1" t="n"/>
      <c r="D269" s="2" t="n"/>
      <c r="E269" s="2" t="n"/>
      <c r="G269" s="1" t="n"/>
      <c r="H269" s="3" t="n"/>
      <c r="I269" s="3" t="n"/>
      <c r="J269" s="3" t="n"/>
      <c r="AF269" s="1" t="n"/>
    </row>
    <row r="270" ht="14.25" customHeight="1" s="101">
      <c r="A270" s="1" t="n"/>
      <c r="D270" s="2" t="n"/>
      <c r="E270" s="2" t="n"/>
      <c r="G270" s="1" t="n"/>
      <c r="H270" s="3" t="n"/>
      <c r="I270" s="3" t="n"/>
      <c r="J270" s="3" t="n"/>
      <c r="AF270" s="1" t="n"/>
    </row>
    <row r="271" ht="14.25" customHeight="1" s="101">
      <c r="A271" s="1" t="n"/>
      <c r="D271" s="2" t="n"/>
      <c r="E271" s="2" t="n"/>
      <c r="G271" s="1" t="n"/>
      <c r="H271" s="3" t="n"/>
      <c r="I271" s="3" t="n"/>
      <c r="J271" s="3" t="n"/>
      <c r="AF271" s="1" t="n"/>
    </row>
    <row r="272" ht="14.25" customHeight="1" s="101">
      <c r="A272" s="1" t="n"/>
      <c r="D272" s="2" t="n"/>
      <c r="E272" s="2" t="n"/>
      <c r="G272" s="1" t="n"/>
      <c r="H272" s="3" t="n"/>
      <c r="I272" s="3" t="n"/>
      <c r="J272" s="3" t="n"/>
      <c r="AF272" s="1" t="n"/>
    </row>
    <row r="273" ht="14.25" customHeight="1" s="101">
      <c r="A273" s="1" t="n"/>
      <c r="D273" s="2" t="n"/>
      <c r="E273" s="2" t="n"/>
      <c r="G273" s="1" t="n"/>
      <c r="H273" s="3" t="n"/>
      <c r="I273" s="3" t="n"/>
      <c r="J273" s="3" t="n"/>
      <c r="AF273" s="1" t="n"/>
    </row>
    <row r="274" ht="14.25" customHeight="1" s="101">
      <c r="A274" s="1" t="n"/>
      <c r="D274" s="2" t="n"/>
      <c r="E274" s="2" t="n"/>
      <c r="G274" s="1" t="n"/>
      <c r="H274" s="3" t="n"/>
      <c r="I274" s="3" t="n"/>
      <c r="J274" s="3" t="n"/>
      <c r="AF274" s="1" t="n"/>
    </row>
    <row r="275" ht="14.25" customHeight="1" s="101">
      <c r="A275" s="1" t="n"/>
      <c r="D275" s="2" t="n"/>
      <c r="E275" s="2" t="n"/>
      <c r="G275" s="1" t="n"/>
      <c r="H275" s="3" t="n"/>
      <c r="I275" s="3" t="n"/>
      <c r="J275" s="3" t="n"/>
      <c r="AF275" s="1" t="n"/>
    </row>
    <row r="276" ht="14.25" customHeight="1" s="101">
      <c r="A276" s="1" t="n"/>
      <c r="D276" s="2" t="n"/>
      <c r="E276" s="2" t="n"/>
      <c r="G276" s="1" t="n"/>
      <c r="H276" s="3" t="n"/>
      <c r="I276" s="3" t="n"/>
      <c r="J276" s="3" t="n"/>
      <c r="AF276" s="1" t="n"/>
    </row>
    <row r="277" ht="14.25" customHeight="1" s="101">
      <c r="A277" s="1" t="n"/>
      <c r="D277" s="2" t="n"/>
      <c r="E277" s="2" t="n"/>
      <c r="G277" s="1" t="n"/>
      <c r="H277" s="3" t="n"/>
      <c r="I277" s="3" t="n"/>
      <c r="J277" s="3" t="n"/>
      <c r="AF277" s="1" t="n"/>
    </row>
    <row r="278" ht="14.25" customHeight="1" s="101">
      <c r="A278" s="1" t="n"/>
      <c r="D278" s="2" t="n"/>
      <c r="E278" s="2" t="n"/>
      <c r="G278" s="1" t="n"/>
      <c r="H278" s="3" t="n"/>
      <c r="I278" s="3" t="n"/>
      <c r="J278" s="3" t="n"/>
      <c r="AF278" s="1" t="n"/>
    </row>
    <row r="279" ht="14.25" customHeight="1" s="101">
      <c r="A279" s="1" t="n"/>
      <c r="D279" s="2" t="n"/>
      <c r="E279" s="2" t="n"/>
      <c r="G279" s="1" t="n"/>
      <c r="H279" s="3" t="n"/>
      <c r="I279" s="3" t="n"/>
      <c r="J279" s="3" t="n"/>
      <c r="AF279" s="1" t="n"/>
    </row>
    <row r="280" ht="14.25" customHeight="1" s="101">
      <c r="A280" s="1" t="n"/>
      <c r="D280" s="2" t="n"/>
      <c r="E280" s="2" t="n"/>
      <c r="G280" s="1" t="n"/>
      <c r="H280" s="3" t="n"/>
      <c r="I280" s="3" t="n"/>
      <c r="J280" s="3" t="n"/>
      <c r="AF280" s="1" t="n"/>
    </row>
    <row r="281" ht="14.25" customHeight="1" s="101">
      <c r="A281" s="1" t="n"/>
      <c r="D281" s="2" t="n"/>
      <c r="E281" s="2" t="n"/>
      <c r="G281" s="1" t="n"/>
      <c r="H281" s="3" t="n"/>
      <c r="I281" s="3" t="n"/>
      <c r="J281" s="3" t="n"/>
      <c r="AF281" s="1" t="n"/>
    </row>
    <row r="282" ht="14.25" customHeight="1" s="101">
      <c r="A282" s="1" t="n"/>
      <c r="D282" s="2" t="n"/>
      <c r="E282" s="2" t="n"/>
      <c r="G282" s="1" t="n"/>
      <c r="H282" s="3" t="n"/>
      <c r="I282" s="3" t="n"/>
      <c r="J282" s="3" t="n"/>
      <c r="AF282" s="1" t="n"/>
    </row>
    <row r="283" ht="14.25" customHeight="1" s="101">
      <c r="A283" s="1" t="n"/>
      <c r="D283" s="2" t="n"/>
      <c r="E283" s="2" t="n"/>
      <c r="G283" s="1" t="n"/>
      <c r="H283" s="3" t="n"/>
      <c r="I283" s="3" t="n"/>
      <c r="J283" s="3" t="n"/>
      <c r="AF283" s="1" t="n"/>
    </row>
    <row r="284" ht="14.25" customHeight="1" s="101">
      <c r="A284" s="1" t="n"/>
      <c r="D284" s="2" t="n"/>
      <c r="E284" s="2" t="n"/>
      <c r="G284" s="1" t="n"/>
      <c r="H284" s="3" t="n"/>
      <c r="I284" s="3" t="n"/>
      <c r="J284" s="3" t="n"/>
      <c r="AF284" s="1" t="n"/>
    </row>
    <row r="285" ht="14.25" customHeight="1" s="101">
      <c r="A285" s="1" t="n"/>
      <c r="D285" s="2" t="n"/>
      <c r="E285" s="2" t="n"/>
      <c r="G285" s="1" t="n"/>
      <c r="H285" s="3" t="n"/>
      <c r="I285" s="3" t="n"/>
      <c r="J285" s="3" t="n"/>
      <c r="AF285" s="1" t="n"/>
    </row>
    <row r="286" ht="14.25" customHeight="1" s="101">
      <c r="A286" s="1" t="n"/>
      <c r="D286" s="2" t="n"/>
      <c r="E286" s="2" t="n"/>
      <c r="G286" s="1" t="n"/>
      <c r="H286" s="3" t="n"/>
      <c r="I286" s="3" t="n"/>
      <c r="J286" s="3" t="n"/>
      <c r="AF286" s="1" t="n"/>
    </row>
    <row r="287" ht="14.25" customHeight="1" s="101">
      <c r="A287" s="1" t="n"/>
      <c r="D287" s="2" t="n"/>
      <c r="E287" s="2" t="n"/>
      <c r="G287" s="1" t="n"/>
      <c r="H287" s="3" t="n"/>
      <c r="I287" s="3" t="n"/>
      <c r="J287" s="3" t="n"/>
      <c r="AF287" s="1" t="n"/>
    </row>
    <row r="288" ht="14.25" customHeight="1" s="101">
      <c r="A288" s="1" t="n"/>
      <c r="D288" s="2" t="n"/>
      <c r="E288" s="2" t="n"/>
      <c r="G288" s="1" t="n"/>
      <c r="H288" s="3" t="n"/>
      <c r="I288" s="3" t="n"/>
      <c r="J288" s="3" t="n"/>
      <c r="AF288" s="1" t="n"/>
    </row>
    <row r="289" ht="14.25" customHeight="1" s="101">
      <c r="A289" s="1" t="n"/>
      <c r="D289" s="2" t="n"/>
      <c r="E289" s="2" t="n"/>
      <c r="G289" s="1" t="n"/>
      <c r="H289" s="3" t="n"/>
      <c r="I289" s="3" t="n"/>
      <c r="J289" s="3" t="n"/>
      <c r="AF289" s="1" t="n"/>
    </row>
    <row r="290" ht="14.25" customHeight="1" s="101">
      <c r="A290" s="1" t="n"/>
      <c r="D290" s="2" t="n"/>
      <c r="E290" s="2" t="n"/>
      <c r="G290" s="1" t="n"/>
      <c r="H290" s="3" t="n"/>
      <c r="I290" s="3" t="n"/>
      <c r="J290" s="3" t="n"/>
      <c r="AF290" s="1" t="n"/>
    </row>
    <row r="291" ht="14.25" customHeight="1" s="101">
      <c r="A291" s="1" t="n"/>
      <c r="D291" s="2" t="n"/>
      <c r="E291" s="2" t="n"/>
      <c r="G291" s="1" t="n"/>
      <c r="H291" s="3" t="n"/>
      <c r="I291" s="3" t="n"/>
      <c r="J291" s="3" t="n"/>
      <c r="AF291" s="1" t="n"/>
    </row>
    <row r="292" ht="14.25" customHeight="1" s="101">
      <c r="A292" s="1" t="n"/>
      <c r="D292" s="2" t="n"/>
      <c r="E292" s="2" t="n"/>
      <c r="G292" s="1" t="n"/>
      <c r="H292" s="3" t="n"/>
      <c r="I292" s="3" t="n"/>
      <c r="J292" s="3" t="n"/>
      <c r="AF292" s="1" t="n"/>
    </row>
    <row r="293" ht="14.25" customHeight="1" s="101">
      <c r="A293" s="1" t="n"/>
      <c r="D293" s="2" t="n"/>
      <c r="E293" s="2" t="n"/>
      <c r="G293" s="1" t="n"/>
      <c r="H293" s="3" t="n"/>
      <c r="I293" s="3" t="n"/>
      <c r="J293" s="3" t="n"/>
      <c r="AF293" s="1" t="n"/>
    </row>
    <row r="294" ht="14.25" customHeight="1" s="101">
      <c r="A294" s="1" t="n"/>
      <c r="D294" s="2" t="n"/>
      <c r="E294" s="2" t="n"/>
      <c r="G294" s="1" t="n"/>
      <c r="H294" s="3" t="n"/>
      <c r="I294" s="3" t="n"/>
      <c r="J294" s="3" t="n"/>
      <c r="AF294" s="1" t="n"/>
    </row>
    <row r="295" ht="14.25" customHeight="1" s="101">
      <c r="A295" s="1" t="n"/>
      <c r="D295" s="2" t="n"/>
      <c r="E295" s="2" t="n"/>
      <c r="G295" s="1" t="n"/>
      <c r="H295" s="3" t="n"/>
      <c r="I295" s="3" t="n"/>
      <c r="J295" s="3" t="n"/>
      <c r="AF295" s="1" t="n"/>
    </row>
    <row r="296" ht="14.25" customHeight="1" s="101">
      <c r="A296" s="1" t="n"/>
      <c r="D296" s="2" t="n"/>
      <c r="E296" s="2" t="n"/>
      <c r="G296" s="1" t="n"/>
      <c r="H296" s="3" t="n"/>
      <c r="I296" s="3" t="n"/>
      <c r="J296" s="3" t="n"/>
      <c r="AF296" s="1" t="n"/>
    </row>
    <row r="297" ht="14.25" customHeight="1" s="101">
      <c r="A297" s="1" t="n"/>
      <c r="D297" s="2" t="n"/>
      <c r="E297" s="2" t="n"/>
      <c r="G297" s="1" t="n"/>
      <c r="H297" s="3" t="n"/>
      <c r="I297" s="3" t="n"/>
      <c r="J297" s="3" t="n"/>
      <c r="AF297" s="1" t="n"/>
    </row>
    <row r="298" ht="14.25" customHeight="1" s="101">
      <c r="A298" s="1" t="n"/>
      <c r="D298" s="2" t="n"/>
      <c r="E298" s="2" t="n"/>
      <c r="G298" s="1" t="n"/>
      <c r="H298" s="3" t="n"/>
      <c r="I298" s="3" t="n"/>
      <c r="J298" s="3" t="n"/>
      <c r="AF298" s="1" t="n"/>
    </row>
    <row r="299" ht="14.25" customHeight="1" s="101">
      <c r="A299" s="1" t="n"/>
      <c r="D299" s="2" t="n"/>
      <c r="E299" s="2" t="n"/>
      <c r="G299" s="1" t="n"/>
      <c r="H299" s="3" t="n"/>
      <c r="I299" s="3" t="n"/>
      <c r="J299" s="3" t="n"/>
      <c r="AF299" s="1" t="n"/>
    </row>
    <row r="300" ht="14.25" customHeight="1" s="101">
      <c r="A300" s="1" t="n"/>
      <c r="D300" s="2" t="n"/>
      <c r="E300" s="2" t="n"/>
      <c r="G300" s="1" t="n"/>
      <c r="H300" s="3" t="n"/>
      <c r="I300" s="3" t="n"/>
      <c r="J300" s="3" t="n"/>
      <c r="AF300" s="1" t="n"/>
    </row>
    <row r="301" ht="14.25" customHeight="1" s="101">
      <c r="A301" s="1" t="n"/>
      <c r="D301" s="2" t="n"/>
      <c r="E301" s="2" t="n"/>
      <c r="G301" s="1" t="n"/>
      <c r="H301" s="3" t="n"/>
      <c r="I301" s="3" t="n"/>
      <c r="J301" s="3" t="n"/>
      <c r="AF301" s="1" t="n"/>
    </row>
    <row r="302" ht="14.25" customHeight="1" s="101">
      <c r="A302" s="1" t="n"/>
      <c r="D302" s="2" t="n"/>
      <c r="E302" s="2" t="n"/>
      <c r="G302" s="1" t="n"/>
      <c r="H302" s="3" t="n"/>
      <c r="I302" s="3" t="n"/>
      <c r="J302" s="3" t="n"/>
      <c r="AF302" s="1" t="n"/>
    </row>
    <row r="303" ht="14.25" customHeight="1" s="101">
      <c r="A303" s="1" t="n"/>
      <c r="D303" s="2" t="n"/>
      <c r="E303" s="2" t="n"/>
      <c r="G303" s="1" t="n"/>
      <c r="H303" s="3" t="n"/>
      <c r="I303" s="3" t="n"/>
      <c r="J303" s="3" t="n"/>
      <c r="AF303" s="1" t="n"/>
    </row>
    <row r="304" ht="14.25" customHeight="1" s="101">
      <c r="A304" s="1" t="n"/>
      <c r="D304" s="2" t="n"/>
      <c r="E304" s="2" t="n"/>
      <c r="G304" s="1" t="n"/>
      <c r="H304" s="3" t="n"/>
      <c r="I304" s="3" t="n"/>
      <c r="J304" s="3" t="n"/>
      <c r="AF304" s="1" t="n"/>
    </row>
    <row r="305" ht="14.25" customHeight="1" s="101">
      <c r="A305" s="1" t="n"/>
      <c r="D305" s="2" t="n"/>
      <c r="E305" s="2" t="n"/>
      <c r="G305" s="1" t="n"/>
      <c r="H305" s="3" t="n"/>
      <c r="I305" s="3" t="n"/>
      <c r="J305" s="3" t="n"/>
      <c r="AF305" s="1" t="n"/>
    </row>
    <row r="306" ht="14.25" customHeight="1" s="101">
      <c r="A306" s="1" t="n"/>
      <c r="D306" s="2" t="n"/>
      <c r="E306" s="2" t="n"/>
      <c r="G306" s="1" t="n"/>
      <c r="H306" s="3" t="n"/>
      <c r="I306" s="3" t="n"/>
      <c r="J306" s="3" t="n"/>
      <c r="AF306" s="1" t="n"/>
    </row>
    <row r="307" ht="14.25" customHeight="1" s="101">
      <c r="A307" s="1" t="n"/>
      <c r="D307" s="2" t="n"/>
      <c r="E307" s="2" t="n"/>
      <c r="G307" s="1" t="n"/>
      <c r="H307" s="3" t="n"/>
      <c r="I307" s="3" t="n"/>
      <c r="J307" s="3" t="n"/>
      <c r="AF307" s="1" t="n"/>
    </row>
    <row r="308" ht="14.25" customHeight="1" s="101">
      <c r="A308" s="1" t="n"/>
      <c r="D308" s="2" t="n"/>
      <c r="E308" s="2" t="n"/>
      <c r="G308" s="1" t="n"/>
      <c r="H308" s="3" t="n"/>
      <c r="I308" s="3" t="n"/>
      <c r="J308" s="3" t="n"/>
      <c r="AF308" s="1" t="n"/>
    </row>
    <row r="309" ht="14.25" customHeight="1" s="101">
      <c r="A309" s="1" t="n"/>
      <c r="D309" s="2" t="n"/>
      <c r="E309" s="2" t="n"/>
      <c r="G309" s="1" t="n"/>
      <c r="H309" s="3" t="n"/>
      <c r="I309" s="3" t="n"/>
      <c r="J309" s="3" t="n"/>
      <c r="AF309" s="1" t="n"/>
    </row>
    <row r="310" ht="14.25" customHeight="1" s="101">
      <c r="A310" s="1" t="n"/>
      <c r="D310" s="2" t="n"/>
      <c r="E310" s="2" t="n"/>
      <c r="G310" s="1" t="n"/>
      <c r="H310" s="3" t="n"/>
      <c r="I310" s="3" t="n"/>
      <c r="J310" s="3" t="n"/>
      <c r="AF310" s="1" t="n"/>
    </row>
    <row r="311" ht="14.25" customHeight="1" s="101">
      <c r="A311" s="1" t="n"/>
      <c r="D311" s="2" t="n"/>
      <c r="E311" s="2" t="n"/>
      <c r="G311" s="1" t="n"/>
      <c r="H311" s="3" t="n"/>
      <c r="I311" s="3" t="n"/>
      <c r="J311" s="3" t="n"/>
      <c r="AF311" s="1" t="n"/>
    </row>
    <row r="312" ht="14.25" customHeight="1" s="101">
      <c r="A312" s="1" t="n"/>
      <c r="D312" s="2" t="n"/>
      <c r="E312" s="2" t="n"/>
      <c r="G312" s="1" t="n"/>
      <c r="H312" s="3" t="n"/>
      <c r="I312" s="3" t="n"/>
      <c r="J312" s="3" t="n"/>
      <c r="AF312" s="1" t="n"/>
    </row>
    <row r="313" ht="14.25" customHeight="1" s="101">
      <c r="A313" s="1" t="n"/>
      <c r="D313" s="2" t="n"/>
      <c r="E313" s="2" t="n"/>
      <c r="G313" s="1" t="n"/>
      <c r="H313" s="3" t="n"/>
      <c r="I313" s="3" t="n"/>
      <c r="J313" s="3" t="n"/>
      <c r="AF313" s="1" t="n"/>
    </row>
    <row r="314" ht="14.25" customHeight="1" s="101">
      <c r="A314" s="1" t="n"/>
      <c r="D314" s="2" t="n"/>
      <c r="E314" s="2" t="n"/>
      <c r="G314" s="1" t="n"/>
      <c r="H314" s="3" t="n"/>
      <c r="I314" s="3" t="n"/>
      <c r="J314" s="3" t="n"/>
      <c r="AF314" s="1" t="n"/>
    </row>
    <row r="315" ht="14.25" customHeight="1" s="101">
      <c r="A315" s="1" t="n"/>
      <c r="D315" s="2" t="n"/>
      <c r="E315" s="2" t="n"/>
      <c r="G315" s="1" t="n"/>
      <c r="H315" s="3" t="n"/>
      <c r="I315" s="3" t="n"/>
      <c r="J315" s="3" t="n"/>
      <c r="AF315" s="1" t="n"/>
    </row>
    <row r="316" ht="14.25" customHeight="1" s="101">
      <c r="A316" s="1" t="n"/>
      <c r="D316" s="2" t="n"/>
      <c r="E316" s="2" t="n"/>
      <c r="G316" s="1" t="n"/>
      <c r="H316" s="3" t="n"/>
      <c r="I316" s="3" t="n"/>
      <c r="J316" s="3" t="n"/>
      <c r="AF316" s="1" t="n"/>
    </row>
    <row r="317" ht="14.25" customHeight="1" s="101">
      <c r="A317" s="1" t="n"/>
      <c r="D317" s="2" t="n"/>
      <c r="E317" s="2" t="n"/>
      <c r="G317" s="1" t="n"/>
      <c r="H317" s="3" t="n"/>
      <c r="I317" s="3" t="n"/>
      <c r="J317" s="3" t="n"/>
      <c r="AF317" s="1" t="n"/>
    </row>
    <row r="318" ht="14.25" customHeight="1" s="101">
      <c r="A318" s="1" t="n"/>
      <c r="D318" s="2" t="n"/>
      <c r="E318" s="2" t="n"/>
      <c r="G318" s="1" t="n"/>
      <c r="H318" s="3" t="n"/>
      <c r="I318" s="3" t="n"/>
      <c r="J318" s="3" t="n"/>
      <c r="AF318" s="1" t="n"/>
    </row>
    <row r="319" ht="14.25" customHeight="1" s="101">
      <c r="A319" s="1" t="n"/>
      <c r="D319" s="2" t="n"/>
      <c r="E319" s="2" t="n"/>
      <c r="G319" s="1" t="n"/>
      <c r="H319" s="3" t="n"/>
      <c r="I319" s="3" t="n"/>
      <c r="J319" s="3" t="n"/>
      <c r="AF319" s="1" t="n"/>
    </row>
    <row r="320" ht="14.25" customHeight="1" s="101">
      <c r="A320" s="1" t="n"/>
      <c r="D320" s="2" t="n"/>
      <c r="E320" s="2" t="n"/>
      <c r="G320" s="1" t="n"/>
      <c r="H320" s="3" t="n"/>
      <c r="I320" s="3" t="n"/>
      <c r="J320" s="3" t="n"/>
      <c r="AF320" s="1" t="n"/>
    </row>
    <row r="321" ht="14.25" customHeight="1" s="101">
      <c r="A321" s="1" t="n"/>
      <c r="D321" s="2" t="n"/>
      <c r="E321" s="2" t="n"/>
      <c r="G321" s="1" t="n"/>
      <c r="H321" s="3" t="n"/>
      <c r="I321" s="3" t="n"/>
      <c r="J321" s="3" t="n"/>
      <c r="AF321" s="1" t="n"/>
    </row>
    <row r="322" ht="14.25" customHeight="1" s="101">
      <c r="A322" s="1" t="n"/>
      <c r="D322" s="2" t="n"/>
      <c r="E322" s="2" t="n"/>
      <c r="G322" s="1" t="n"/>
      <c r="H322" s="3" t="n"/>
      <c r="I322" s="3" t="n"/>
      <c r="J322" s="3" t="n"/>
      <c r="AF322" s="1" t="n"/>
    </row>
    <row r="323" ht="14.25" customHeight="1" s="101">
      <c r="A323" s="1" t="n"/>
      <c r="D323" s="2" t="n"/>
      <c r="E323" s="2" t="n"/>
      <c r="G323" s="1" t="n"/>
      <c r="H323" s="3" t="n"/>
      <c r="I323" s="3" t="n"/>
      <c r="J323" s="3" t="n"/>
      <c r="AF323" s="1" t="n"/>
    </row>
    <row r="324" ht="14.25" customHeight="1" s="101">
      <c r="A324" s="1" t="n"/>
      <c r="D324" s="2" t="n"/>
      <c r="E324" s="2" t="n"/>
      <c r="G324" s="1" t="n"/>
      <c r="H324" s="3" t="n"/>
      <c r="I324" s="3" t="n"/>
      <c r="J324" s="3" t="n"/>
      <c r="AF324" s="1" t="n"/>
    </row>
    <row r="325" ht="14.25" customHeight="1" s="101">
      <c r="A325" s="1" t="n"/>
      <c r="D325" s="2" t="n"/>
      <c r="E325" s="2" t="n"/>
      <c r="G325" s="1" t="n"/>
      <c r="H325" s="3" t="n"/>
      <c r="I325" s="3" t="n"/>
      <c r="J325" s="3" t="n"/>
      <c r="AF325" s="1" t="n"/>
    </row>
    <row r="326" ht="14.25" customHeight="1" s="101">
      <c r="A326" s="1" t="n"/>
      <c r="D326" s="2" t="n"/>
      <c r="E326" s="2" t="n"/>
      <c r="G326" s="1" t="n"/>
      <c r="H326" s="3" t="n"/>
      <c r="I326" s="3" t="n"/>
      <c r="J326" s="3" t="n"/>
      <c r="AF326" s="1" t="n"/>
    </row>
    <row r="327" ht="14.25" customHeight="1" s="101">
      <c r="A327" s="1" t="n"/>
      <c r="D327" s="2" t="n"/>
      <c r="E327" s="2" t="n"/>
      <c r="G327" s="1" t="n"/>
      <c r="H327" s="3" t="n"/>
      <c r="I327" s="3" t="n"/>
      <c r="J327" s="3" t="n"/>
      <c r="AF327" s="1" t="n"/>
    </row>
    <row r="328" ht="14.25" customHeight="1" s="101">
      <c r="A328" s="1" t="n"/>
      <c r="D328" s="2" t="n"/>
      <c r="E328" s="2" t="n"/>
      <c r="G328" s="1" t="n"/>
      <c r="H328" s="3" t="n"/>
      <c r="I328" s="3" t="n"/>
      <c r="J328" s="3" t="n"/>
      <c r="AF328" s="1" t="n"/>
    </row>
    <row r="329" ht="14.25" customHeight="1" s="101">
      <c r="A329" s="1" t="n"/>
      <c r="D329" s="2" t="n"/>
      <c r="E329" s="2" t="n"/>
      <c r="G329" s="1" t="n"/>
      <c r="H329" s="3" t="n"/>
      <c r="I329" s="3" t="n"/>
      <c r="J329" s="3" t="n"/>
      <c r="AF329" s="1" t="n"/>
    </row>
    <row r="330" ht="14.25" customHeight="1" s="101">
      <c r="A330" s="1" t="n"/>
      <c r="D330" s="2" t="n"/>
      <c r="E330" s="2" t="n"/>
      <c r="G330" s="1" t="n"/>
      <c r="H330" s="3" t="n"/>
      <c r="I330" s="3" t="n"/>
      <c r="J330" s="3" t="n"/>
      <c r="AF330" s="1" t="n"/>
    </row>
    <row r="331" ht="14.25" customHeight="1" s="101">
      <c r="A331" s="1" t="n"/>
      <c r="D331" s="2" t="n"/>
      <c r="E331" s="2" t="n"/>
      <c r="G331" s="1" t="n"/>
      <c r="H331" s="3" t="n"/>
      <c r="I331" s="3" t="n"/>
      <c r="J331" s="3" t="n"/>
      <c r="AF331" s="1" t="n"/>
    </row>
    <row r="332" ht="14.25" customHeight="1" s="101">
      <c r="A332" s="1" t="n"/>
      <c r="D332" s="2" t="n"/>
      <c r="E332" s="2" t="n"/>
      <c r="G332" s="1" t="n"/>
      <c r="H332" s="3" t="n"/>
      <c r="I332" s="3" t="n"/>
      <c r="J332" s="3" t="n"/>
      <c r="AF332" s="1" t="n"/>
    </row>
    <row r="333" ht="14.25" customHeight="1" s="101">
      <c r="A333" s="1" t="n"/>
      <c r="D333" s="2" t="n"/>
      <c r="E333" s="2" t="n"/>
      <c r="G333" s="1" t="n"/>
      <c r="H333" s="3" t="n"/>
      <c r="I333" s="3" t="n"/>
      <c r="J333" s="3" t="n"/>
      <c r="AF333" s="1" t="n"/>
    </row>
    <row r="334" ht="14.25" customHeight="1" s="101">
      <c r="A334" s="1" t="n"/>
      <c r="D334" s="2" t="n"/>
      <c r="E334" s="2" t="n"/>
      <c r="G334" s="1" t="n"/>
      <c r="H334" s="3" t="n"/>
      <c r="I334" s="3" t="n"/>
      <c r="J334" s="3" t="n"/>
      <c r="AF334" s="1" t="n"/>
    </row>
    <row r="335" ht="14.25" customHeight="1" s="101">
      <c r="A335" s="1" t="n"/>
      <c r="D335" s="2" t="n"/>
      <c r="E335" s="2" t="n"/>
      <c r="G335" s="1" t="n"/>
      <c r="H335" s="3" t="n"/>
      <c r="I335" s="3" t="n"/>
      <c r="J335" s="3" t="n"/>
      <c r="AF335" s="1" t="n"/>
    </row>
    <row r="336" ht="14.25" customHeight="1" s="101">
      <c r="A336" s="1" t="n"/>
      <c r="D336" s="2" t="n"/>
      <c r="E336" s="2" t="n"/>
      <c r="G336" s="1" t="n"/>
      <c r="H336" s="3" t="n"/>
      <c r="I336" s="3" t="n"/>
      <c r="J336" s="3" t="n"/>
      <c r="AF336" s="1" t="n"/>
    </row>
    <row r="337" ht="14.25" customHeight="1" s="101">
      <c r="A337" s="1" t="n"/>
      <c r="D337" s="2" t="n"/>
      <c r="E337" s="2" t="n"/>
      <c r="G337" s="1" t="n"/>
      <c r="H337" s="3" t="n"/>
      <c r="I337" s="3" t="n"/>
      <c r="J337" s="3" t="n"/>
      <c r="AF337" s="1" t="n"/>
    </row>
    <row r="338" ht="14.25" customHeight="1" s="101">
      <c r="A338" s="1" t="n"/>
      <c r="D338" s="2" t="n"/>
      <c r="E338" s="2" t="n"/>
      <c r="G338" s="1" t="n"/>
      <c r="H338" s="3" t="n"/>
      <c r="I338" s="3" t="n"/>
      <c r="J338" s="3" t="n"/>
      <c r="AF338" s="1" t="n"/>
    </row>
    <row r="339" ht="14.25" customHeight="1" s="101">
      <c r="A339" s="1" t="n"/>
      <c r="D339" s="2" t="n"/>
      <c r="E339" s="2" t="n"/>
      <c r="G339" s="1" t="n"/>
      <c r="H339" s="3" t="n"/>
      <c r="I339" s="3" t="n"/>
      <c r="J339" s="3" t="n"/>
      <c r="AF339" s="1" t="n"/>
    </row>
    <row r="340" ht="14.25" customHeight="1" s="101">
      <c r="A340" s="1" t="n"/>
      <c r="D340" s="2" t="n"/>
      <c r="E340" s="2" t="n"/>
      <c r="G340" s="1" t="n"/>
      <c r="H340" s="3" t="n"/>
      <c r="I340" s="3" t="n"/>
      <c r="J340" s="3" t="n"/>
      <c r="AF340" s="1" t="n"/>
    </row>
    <row r="341" ht="14.25" customHeight="1" s="101">
      <c r="A341" s="1" t="n"/>
      <c r="D341" s="2" t="n"/>
      <c r="E341" s="2" t="n"/>
      <c r="G341" s="1" t="n"/>
      <c r="H341" s="3" t="n"/>
      <c r="I341" s="3" t="n"/>
      <c r="J341" s="3" t="n"/>
      <c r="AF341" s="1" t="n"/>
    </row>
    <row r="342" ht="14.25" customHeight="1" s="101">
      <c r="A342" s="1" t="n"/>
      <c r="D342" s="2" t="n"/>
      <c r="E342" s="2" t="n"/>
      <c r="G342" s="1" t="n"/>
      <c r="H342" s="3" t="n"/>
      <c r="I342" s="3" t="n"/>
      <c r="J342" s="3" t="n"/>
      <c r="AF342" s="1" t="n"/>
    </row>
    <row r="343" ht="14.25" customHeight="1" s="101">
      <c r="A343" s="1" t="n"/>
      <c r="D343" s="2" t="n"/>
      <c r="E343" s="2" t="n"/>
      <c r="G343" s="1" t="n"/>
      <c r="H343" s="3" t="n"/>
      <c r="I343" s="3" t="n"/>
      <c r="J343" s="3" t="n"/>
      <c r="AF343" s="1" t="n"/>
    </row>
    <row r="344" ht="14.25" customHeight="1" s="101">
      <c r="A344" s="1" t="n"/>
      <c r="D344" s="2" t="n"/>
      <c r="E344" s="2" t="n"/>
      <c r="G344" s="1" t="n"/>
      <c r="H344" s="3" t="n"/>
      <c r="I344" s="3" t="n"/>
      <c r="J344" s="3" t="n"/>
      <c r="AF344" s="1" t="n"/>
    </row>
    <row r="345" ht="14.25" customHeight="1" s="101">
      <c r="A345" s="1" t="n"/>
      <c r="D345" s="2" t="n"/>
      <c r="E345" s="2" t="n"/>
      <c r="G345" s="1" t="n"/>
      <c r="H345" s="3" t="n"/>
      <c r="I345" s="3" t="n"/>
      <c r="J345" s="3" t="n"/>
      <c r="AF345" s="1" t="n"/>
    </row>
    <row r="346" ht="14.25" customHeight="1" s="101">
      <c r="A346" s="1" t="n"/>
      <c r="D346" s="2" t="n"/>
      <c r="E346" s="2" t="n"/>
      <c r="G346" s="1" t="n"/>
      <c r="H346" s="3" t="n"/>
      <c r="I346" s="3" t="n"/>
      <c r="J346" s="3" t="n"/>
      <c r="AF346" s="1" t="n"/>
    </row>
    <row r="347" ht="14.25" customHeight="1" s="101">
      <c r="A347" s="1" t="n"/>
      <c r="D347" s="2" t="n"/>
      <c r="E347" s="2" t="n"/>
      <c r="G347" s="1" t="n"/>
      <c r="H347" s="3" t="n"/>
      <c r="I347" s="3" t="n"/>
      <c r="J347" s="3" t="n"/>
      <c r="AF347" s="1" t="n"/>
    </row>
    <row r="348" ht="14.25" customHeight="1" s="101">
      <c r="A348" s="1" t="n"/>
      <c r="D348" s="2" t="n"/>
      <c r="E348" s="2" t="n"/>
      <c r="G348" s="1" t="n"/>
      <c r="H348" s="3" t="n"/>
      <c r="I348" s="3" t="n"/>
      <c r="J348" s="3" t="n"/>
      <c r="AF348" s="1" t="n"/>
    </row>
    <row r="349" ht="14.25" customHeight="1" s="101">
      <c r="A349" s="1" t="n"/>
      <c r="D349" s="2" t="n"/>
      <c r="E349" s="2" t="n"/>
      <c r="G349" s="1" t="n"/>
      <c r="H349" s="3" t="n"/>
      <c r="I349" s="3" t="n"/>
      <c r="J349" s="3" t="n"/>
      <c r="AF349" s="1" t="n"/>
    </row>
    <row r="350" ht="14.25" customHeight="1" s="101">
      <c r="A350" s="1" t="n"/>
      <c r="D350" s="2" t="n"/>
      <c r="E350" s="2" t="n"/>
      <c r="G350" s="1" t="n"/>
      <c r="H350" s="3" t="n"/>
      <c r="I350" s="3" t="n"/>
      <c r="J350" s="3" t="n"/>
      <c r="AF350" s="1" t="n"/>
    </row>
    <row r="351" ht="14.25" customHeight="1" s="101">
      <c r="A351" s="1" t="n"/>
      <c r="D351" s="2" t="n"/>
      <c r="E351" s="2" t="n"/>
      <c r="G351" s="1" t="n"/>
      <c r="H351" s="3" t="n"/>
      <c r="I351" s="3" t="n"/>
      <c r="J351" s="3" t="n"/>
      <c r="AF351" s="1" t="n"/>
    </row>
    <row r="352" ht="14.25" customHeight="1" s="101">
      <c r="A352" s="1" t="n"/>
      <c r="D352" s="2" t="n"/>
      <c r="E352" s="2" t="n"/>
      <c r="G352" s="1" t="n"/>
      <c r="H352" s="3" t="n"/>
      <c r="I352" s="3" t="n"/>
      <c r="J352" s="3" t="n"/>
      <c r="AF352" s="1" t="n"/>
    </row>
    <row r="353" ht="14.25" customHeight="1" s="101">
      <c r="A353" s="1" t="n"/>
      <c r="D353" s="2" t="n"/>
      <c r="E353" s="2" t="n"/>
      <c r="G353" s="1" t="n"/>
      <c r="H353" s="3" t="n"/>
      <c r="I353" s="3" t="n"/>
      <c r="J353" s="3" t="n"/>
      <c r="AF353" s="1" t="n"/>
    </row>
    <row r="354" ht="14.25" customHeight="1" s="101">
      <c r="A354" s="1" t="n"/>
      <c r="D354" s="2" t="n"/>
      <c r="E354" s="2" t="n"/>
      <c r="G354" s="1" t="n"/>
      <c r="H354" s="3" t="n"/>
      <c r="I354" s="3" t="n"/>
      <c r="J354" s="3" t="n"/>
      <c r="AF354" s="1" t="n"/>
    </row>
    <row r="355" ht="14.25" customHeight="1" s="101">
      <c r="A355" s="1" t="n"/>
      <c r="D355" s="2" t="n"/>
      <c r="E355" s="2" t="n"/>
      <c r="G355" s="1" t="n"/>
      <c r="H355" s="3" t="n"/>
      <c r="I355" s="3" t="n"/>
      <c r="J355" s="3" t="n"/>
      <c r="AF355" s="1" t="n"/>
    </row>
    <row r="356" ht="14.25" customHeight="1" s="101">
      <c r="A356" s="1" t="n"/>
      <c r="D356" s="2" t="n"/>
      <c r="E356" s="2" t="n"/>
      <c r="G356" s="1" t="n"/>
      <c r="H356" s="3" t="n"/>
      <c r="I356" s="3" t="n"/>
      <c r="J356" s="3" t="n"/>
      <c r="AF356" s="1" t="n"/>
    </row>
    <row r="357" ht="14.25" customHeight="1" s="101">
      <c r="A357" s="1" t="n"/>
      <c r="D357" s="2" t="n"/>
      <c r="E357" s="2" t="n"/>
      <c r="G357" s="1" t="n"/>
      <c r="H357" s="3" t="n"/>
      <c r="I357" s="3" t="n"/>
      <c r="J357" s="3" t="n"/>
      <c r="AF357" s="1" t="n"/>
    </row>
    <row r="358" ht="14.25" customHeight="1" s="101">
      <c r="A358" s="1" t="n"/>
      <c r="D358" s="2" t="n"/>
      <c r="E358" s="2" t="n"/>
      <c r="G358" s="1" t="n"/>
      <c r="H358" s="3" t="n"/>
      <c r="I358" s="3" t="n"/>
      <c r="J358" s="3" t="n"/>
      <c r="AF358" s="1" t="n"/>
    </row>
    <row r="359" ht="14.25" customHeight="1" s="101">
      <c r="A359" s="1" t="n"/>
      <c r="D359" s="2" t="n"/>
      <c r="E359" s="2" t="n"/>
      <c r="G359" s="1" t="n"/>
      <c r="H359" s="3" t="n"/>
      <c r="I359" s="3" t="n"/>
      <c r="J359" s="3" t="n"/>
      <c r="AF359" s="1" t="n"/>
    </row>
    <row r="360" ht="14.25" customHeight="1" s="101">
      <c r="A360" s="1" t="n"/>
      <c r="D360" s="2" t="n"/>
      <c r="E360" s="2" t="n"/>
      <c r="G360" s="1" t="n"/>
      <c r="H360" s="3" t="n"/>
      <c r="I360" s="3" t="n"/>
      <c r="J360" s="3" t="n"/>
      <c r="AF360" s="1" t="n"/>
    </row>
    <row r="361" ht="14.25" customHeight="1" s="101">
      <c r="A361" s="1" t="n"/>
      <c r="D361" s="2" t="n"/>
      <c r="E361" s="2" t="n"/>
      <c r="G361" s="1" t="n"/>
      <c r="H361" s="3" t="n"/>
      <c r="I361" s="3" t="n"/>
      <c r="J361" s="3" t="n"/>
      <c r="AF361" s="1" t="n"/>
    </row>
    <row r="362" ht="14.25" customHeight="1" s="101">
      <c r="A362" s="1" t="n"/>
      <c r="D362" s="2" t="n"/>
      <c r="E362" s="2" t="n"/>
      <c r="G362" s="1" t="n"/>
      <c r="H362" s="3" t="n"/>
      <c r="I362" s="3" t="n"/>
      <c r="J362" s="3" t="n"/>
      <c r="AF362" s="1" t="n"/>
    </row>
    <row r="363" ht="14.25" customHeight="1" s="101">
      <c r="A363" s="1" t="n"/>
      <c r="D363" s="2" t="n"/>
      <c r="E363" s="2" t="n"/>
      <c r="G363" s="1" t="n"/>
      <c r="H363" s="3" t="n"/>
      <c r="I363" s="3" t="n"/>
      <c r="J363" s="3" t="n"/>
      <c r="AF363" s="1" t="n"/>
    </row>
    <row r="364" ht="14.25" customHeight="1" s="101">
      <c r="A364" s="1" t="n"/>
      <c r="D364" s="2" t="n"/>
      <c r="E364" s="2" t="n"/>
      <c r="G364" s="1" t="n"/>
      <c r="H364" s="3" t="n"/>
      <c r="I364" s="3" t="n"/>
      <c r="J364" s="3" t="n"/>
      <c r="AF364" s="1" t="n"/>
    </row>
    <row r="365" ht="14.25" customHeight="1" s="101">
      <c r="A365" s="1" t="n"/>
      <c r="D365" s="2" t="n"/>
      <c r="E365" s="2" t="n"/>
      <c r="G365" s="1" t="n"/>
      <c r="H365" s="3" t="n"/>
      <c r="I365" s="3" t="n"/>
      <c r="J365" s="3" t="n"/>
      <c r="AF365" s="1" t="n"/>
    </row>
    <row r="366" ht="14.25" customHeight="1" s="101">
      <c r="A366" s="1" t="n"/>
      <c r="D366" s="2" t="n"/>
      <c r="E366" s="2" t="n"/>
      <c r="G366" s="1" t="n"/>
      <c r="H366" s="3" t="n"/>
      <c r="I366" s="3" t="n"/>
      <c r="J366" s="3" t="n"/>
      <c r="AF366" s="1" t="n"/>
    </row>
    <row r="367" ht="14.25" customHeight="1" s="101">
      <c r="A367" s="1" t="n"/>
      <c r="D367" s="2" t="n"/>
      <c r="E367" s="2" t="n"/>
      <c r="G367" s="1" t="n"/>
      <c r="H367" s="3" t="n"/>
      <c r="I367" s="3" t="n"/>
      <c r="J367" s="3" t="n"/>
      <c r="AF367" s="1" t="n"/>
    </row>
    <row r="368" ht="14.25" customHeight="1" s="101">
      <c r="A368" s="1" t="n"/>
      <c r="D368" s="2" t="n"/>
      <c r="E368" s="2" t="n"/>
      <c r="G368" s="1" t="n"/>
      <c r="H368" s="3" t="n"/>
      <c r="I368" s="3" t="n"/>
      <c r="J368" s="3" t="n"/>
      <c r="AF368" s="1" t="n"/>
    </row>
    <row r="369" ht="14.25" customHeight="1" s="101">
      <c r="A369" s="1" t="n"/>
      <c r="D369" s="2" t="n"/>
      <c r="E369" s="2" t="n"/>
      <c r="G369" s="1" t="n"/>
      <c r="H369" s="3" t="n"/>
      <c r="I369" s="3" t="n"/>
      <c r="J369" s="3" t="n"/>
      <c r="AF369" s="1" t="n"/>
    </row>
    <row r="370" ht="14.25" customHeight="1" s="101">
      <c r="A370" s="1" t="n"/>
      <c r="D370" s="2" t="n"/>
      <c r="E370" s="2" t="n"/>
      <c r="G370" s="1" t="n"/>
      <c r="H370" s="3" t="n"/>
      <c r="I370" s="3" t="n"/>
      <c r="J370" s="3" t="n"/>
      <c r="AF370" s="1" t="n"/>
    </row>
    <row r="371" ht="14.25" customHeight="1" s="101">
      <c r="A371" s="1" t="n"/>
      <c r="D371" s="2" t="n"/>
      <c r="E371" s="2" t="n"/>
      <c r="G371" s="1" t="n"/>
      <c r="H371" s="3" t="n"/>
      <c r="I371" s="3" t="n"/>
      <c r="J371" s="3" t="n"/>
      <c r="AF371" s="1" t="n"/>
    </row>
    <row r="372" ht="14.25" customHeight="1" s="101">
      <c r="A372" s="1" t="n"/>
      <c r="D372" s="2" t="n"/>
      <c r="E372" s="2" t="n"/>
      <c r="G372" s="1" t="n"/>
      <c r="H372" s="3" t="n"/>
      <c r="I372" s="3" t="n"/>
      <c r="J372" s="3" t="n"/>
      <c r="AF372" s="1" t="n"/>
    </row>
    <row r="373" ht="14.25" customHeight="1" s="101">
      <c r="A373" s="1" t="n"/>
      <c r="D373" s="2" t="n"/>
      <c r="E373" s="2" t="n"/>
      <c r="G373" s="1" t="n"/>
      <c r="H373" s="3" t="n"/>
      <c r="I373" s="3" t="n"/>
      <c r="J373" s="3" t="n"/>
      <c r="AF373" s="1" t="n"/>
    </row>
    <row r="374" ht="14.25" customHeight="1" s="101">
      <c r="A374" s="1" t="n"/>
      <c r="D374" s="2" t="n"/>
      <c r="E374" s="2" t="n"/>
      <c r="G374" s="1" t="n"/>
      <c r="H374" s="3" t="n"/>
      <c r="I374" s="3" t="n"/>
      <c r="J374" s="3" t="n"/>
      <c r="AF374" s="1" t="n"/>
    </row>
    <row r="375" ht="14.25" customHeight="1" s="101">
      <c r="A375" s="1" t="n"/>
      <c r="D375" s="2" t="n"/>
      <c r="E375" s="2" t="n"/>
      <c r="G375" s="1" t="n"/>
      <c r="H375" s="3" t="n"/>
      <c r="I375" s="3" t="n"/>
      <c r="J375" s="3" t="n"/>
      <c r="AF375" s="1" t="n"/>
    </row>
    <row r="376" ht="14.25" customHeight="1" s="101">
      <c r="A376" s="1" t="n"/>
      <c r="D376" s="2" t="n"/>
      <c r="E376" s="2" t="n"/>
      <c r="G376" s="1" t="n"/>
      <c r="H376" s="3" t="n"/>
      <c r="I376" s="3" t="n"/>
      <c r="J376" s="3" t="n"/>
      <c r="AF376" s="1" t="n"/>
    </row>
    <row r="377" ht="14.25" customHeight="1" s="101">
      <c r="A377" s="1" t="n"/>
      <c r="D377" s="2" t="n"/>
      <c r="E377" s="2" t="n"/>
      <c r="G377" s="1" t="n"/>
      <c r="H377" s="3" t="n"/>
      <c r="I377" s="3" t="n"/>
      <c r="J377" s="3" t="n"/>
      <c r="AF377" s="1" t="n"/>
    </row>
    <row r="378" ht="14.25" customHeight="1" s="101">
      <c r="A378" s="1" t="n"/>
      <c r="D378" s="2" t="n"/>
      <c r="E378" s="2" t="n"/>
      <c r="G378" s="1" t="n"/>
      <c r="H378" s="3" t="n"/>
      <c r="I378" s="3" t="n"/>
      <c r="J378" s="3" t="n"/>
      <c r="AF378" s="1" t="n"/>
    </row>
    <row r="379" ht="14.25" customHeight="1" s="101">
      <c r="A379" s="1" t="n"/>
      <c r="D379" s="2" t="n"/>
      <c r="E379" s="2" t="n"/>
      <c r="G379" s="1" t="n"/>
      <c r="H379" s="3" t="n"/>
      <c r="I379" s="3" t="n"/>
      <c r="J379" s="3" t="n"/>
      <c r="AF379" s="1" t="n"/>
    </row>
    <row r="380" ht="14.25" customHeight="1" s="101">
      <c r="A380" s="1" t="n"/>
      <c r="D380" s="2" t="n"/>
      <c r="E380" s="2" t="n"/>
      <c r="G380" s="1" t="n"/>
      <c r="H380" s="3" t="n"/>
      <c r="I380" s="3" t="n"/>
      <c r="J380" s="3" t="n"/>
      <c r="AF380" s="1" t="n"/>
    </row>
    <row r="381" ht="14.25" customHeight="1" s="101">
      <c r="A381" s="1" t="n"/>
      <c r="D381" s="2" t="n"/>
      <c r="E381" s="2" t="n"/>
      <c r="G381" s="1" t="n"/>
      <c r="H381" s="3" t="n"/>
      <c r="I381" s="3" t="n"/>
      <c r="J381" s="3" t="n"/>
      <c r="AF381" s="1" t="n"/>
    </row>
    <row r="382" ht="14.25" customHeight="1" s="101">
      <c r="A382" s="1" t="n"/>
      <c r="D382" s="2" t="n"/>
      <c r="E382" s="2" t="n"/>
      <c r="G382" s="1" t="n"/>
      <c r="H382" s="3" t="n"/>
      <c r="I382" s="3" t="n"/>
      <c r="J382" s="3" t="n"/>
      <c r="AF382" s="1" t="n"/>
    </row>
    <row r="383" ht="14.25" customHeight="1" s="101">
      <c r="A383" s="1" t="n"/>
      <c r="D383" s="2" t="n"/>
      <c r="E383" s="2" t="n"/>
      <c r="G383" s="1" t="n"/>
      <c r="H383" s="3" t="n"/>
      <c r="I383" s="3" t="n"/>
      <c r="J383" s="3" t="n"/>
      <c r="AF383" s="1" t="n"/>
    </row>
    <row r="384" ht="14.25" customHeight="1" s="101">
      <c r="A384" s="1" t="n"/>
      <c r="D384" s="2" t="n"/>
      <c r="E384" s="2" t="n"/>
      <c r="G384" s="1" t="n"/>
      <c r="H384" s="3" t="n"/>
      <c r="I384" s="3" t="n"/>
      <c r="J384" s="3" t="n"/>
      <c r="AF384" s="1" t="n"/>
    </row>
    <row r="385" ht="14.25" customHeight="1" s="101">
      <c r="A385" s="1" t="n"/>
      <c r="D385" s="2" t="n"/>
      <c r="E385" s="2" t="n"/>
      <c r="G385" s="1" t="n"/>
      <c r="H385" s="3" t="n"/>
      <c r="I385" s="3" t="n"/>
      <c r="J385" s="3" t="n"/>
      <c r="AF385" s="1" t="n"/>
    </row>
    <row r="386" ht="14.25" customHeight="1" s="101">
      <c r="A386" s="1" t="n"/>
      <c r="D386" s="2" t="n"/>
      <c r="E386" s="2" t="n"/>
      <c r="G386" s="1" t="n"/>
      <c r="H386" s="3" t="n"/>
      <c r="I386" s="3" t="n"/>
      <c r="J386" s="3" t="n"/>
      <c r="AF386" s="1" t="n"/>
    </row>
    <row r="387" ht="14.25" customHeight="1" s="101">
      <c r="A387" s="1" t="n"/>
      <c r="D387" s="2" t="n"/>
      <c r="E387" s="2" t="n"/>
      <c r="G387" s="1" t="n"/>
      <c r="H387" s="3" t="n"/>
      <c r="I387" s="3" t="n"/>
      <c r="J387" s="3" t="n"/>
      <c r="AF387" s="1" t="n"/>
    </row>
    <row r="388" ht="14.25" customHeight="1" s="101">
      <c r="A388" s="1" t="n"/>
      <c r="D388" s="2" t="n"/>
      <c r="E388" s="2" t="n"/>
      <c r="G388" s="1" t="n"/>
      <c r="H388" s="3" t="n"/>
      <c r="I388" s="3" t="n"/>
      <c r="J388" s="3" t="n"/>
      <c r="AF388" s="1" t="n"/>
    </row>
    <row r="389" ht="14.25" customHeight="1" s="101">
      <c r="A389" s="1" t="n"/>
      <c r="D389" s="2" t="n"/>
      <c r="E389" s="2" t="n"/>
      <c r="G389" s="1" t="n"/>
      <c r="H389" s="3" t="n"/>
      <c r="I389" s="3" t="n"/>
      <c r="J389" s="3" t="n"/>
      <c r="AF389" s="1" t="n"/>
    </row>
    <row r="390" ht="14.25" customHeight="1" s="101">
      <c r="A390" s="1" t="n"/>
      <c r="D390" s="2" t="n"/>
      <c r="E390" s="2" t="n"/>
      <c r="G390" s="1" t="n"/>
      <c r="H390" s="3" t="n"/>
      <c r="I390" s="3" t="n"/>
      <c r="J390" s="3" t="n"/>
      <c r="AF390" s="1" t="n"/>
    </row>
    <row r="391" ht="14.25" customHeight="1" s="101">
      <c r="A391" s="1" t="n"/>
      <c r="D391" s="2" t="n"/>
      <c r="E391" s="2" t="n"/>
      <c r="G391" s="1" t="n"/>
      <c r="H391" s="3" t="n"/>
      <c r="I391" s="3" t="n"/>
      <c r="J391" s="3" t="n"/>
      <c r="AF391" s="1" t="n"/>
    </row>
    <row r="392" ht="14.25" customHeight="1" s="101">
      <c r="A392" s="1" t="n"/>
      <c r="D392" s="2" t="n"/>
      <c r="E392" s="2" t="n"/>
      <c r="G392" s="1" t="n"/>
      <c r="H392" s="3" t="n"/>
      <c r="I392" s="3" t="n"/>
      <c r="J392" s="3" t="n"/>
      <c r="AF392" s="1" t="n"/>
    </row>
    <row r="393" ht="14.25" customHeight="1" s="101">
      <c r="A393" s="1" t="n"/>
      <c r="D393" s="2" t="n"/>
      <c r="E393" s="2" t="n"/>
      <c r="G393" s="1" t="n"/>
      <c r="H393" s="3" t="n"/>
      <c r="I393" s="3" t="n"/>
      <c r="J393" s="3" t="n"/>
      <c r="AF393" s="1" t="n"/>
    </row>
    <row r="394" ht="14.25" customHeight="1" s="101">
      <c r="A394" s="1" t="n"/>
      <c r="D394" s="2" t="n"/>
      <c r="E394" s="2" t="n"/>
      <c r="G394" s="1" t="n"/>
      <c r="H394" s="3" t="n"/>
      <c r="I394" s="3" t="n"/>
      <c r="J394" s="3" t="n"/>
      <c r="AF394" s="1" t="n"/>
    </row>
    <row r="395" ht="14.25" customHeight="1" s="101">
      <c r="A395" s="1" t="n"/>
      <c r="D395" s="2" t="n"/>
      <c r="E395" s="2" t="n"/>
      <c r="G395" s="1" t="n"/>
      <c r="H395" s="3" t="n"/>
      <c r="I395" s="3" t="n"/>
      <c r="J395" s="3" t="n"/>
      <c r="AF395" s="1" t="n"/>
    </row>
    <row r="396" ht="14.25" customHeight="1" s="101">
      <c r="A396" s="1" t="n"/>
      <c r="D396" s="2" t="n"/>
      <c r="E396" s="2" t="n"/>
      <c r="G396" s="1" t="n"/>
      <c r="H396" s="3" t="n"/>
      <c r="I396" s="3" t="n"/>
      <c r="J396" s="3" t="n"/>
      <c r="AF396" s="1" t="n"/>
    </row>
    <row r="397" ht="14.25" customHeight="1" s="101">
      <c r="A397" s="1" t="n"/>
      <c r="D397" s="2" t="n"/>
      <c r="E397" s="2" t="n"/>
      <c r="G397" s="1" t="n"/>
      <c r="H397" s="3" t="n"/>
      <c r="I397" s="3" t="n"/>
      <c r="J397" s="3" t="n"/>
      <c r="AF397" s="1" t="n"/>
    </row>
    <row r="398" ht="14.25" customHeight="1" s="101">
      <c r="A398" s="1" t="n"/>
      <c r="D398" s="2" t="n"/>
      <c r="E398" s="2" t="n"/>
      <c r="G398" s="1" t="n"/>
      <c r="H398" s="3" t="n"/>
      <c r="I398" s="3" t="n"/>
      <c r="J398" s="3" t="n"/>
      <c r="AF398" s="1" t="n"/>
    </row>
    <row r="399" ht="14.25" customHeight="1" s="101">
      <c r="A399" s="1" t="n"/>
      <c r="D399" s="2" t="n"/>
      <c r="E399" s="2" t="n"/>
      <c r="G399" s="1" t="n"/>
      <c r="H399" s="3" t="n"/>
      <c r="I399" s="3" t="n"/>
      <c r="J399" s="3" t="n"/>
      <c r="AF399" s="1" t="n"/>
    </row>
    <row r="400" ht="14.25" customHeight="1" s="101">
      <c r="A400" s="1" t="n"/>
      <c r="D400" s="2" t="n"/>
      <c r="E400" s="2" t="n"/>
      <c r="G400" s="1" t="n"/>
      <c r="H400" s="3" t="n"/>
      <c r="I400" s="3" t="n"/>
      <c r="J400" s="3" t="n"/>
      <c r="AF400" s="1" t="n"/>
    </row>
    <row r="401" ht="14.25" customHeight="1" s="101">
      <c r="A401" s="1" t="n"/>
      <c r="D401" s="2" t="n"/>
      <c r="E401" s="2" t="n"/>
      <c r="G401" s="1" t="n"/>
      <c r="H401" s="3" t="n"/>
      <c r="I401" s="3" t="n"/>
      <c r="J401" s="3" t="n"/>
      <c r="AF401" s="1" t="n"/>
    </row>
    <row r="402" ht="14.25" customHeight="1" s="101">
      <c r="A402" s="1" t="n"/>
      <c r="D402" s="2" t="n"/>
      <c r="E402" s="2" t="n"/>
      <c r="G402" s="1" t="n"/>
      <c r="H402" s="3" t="n"/>
      <c r="I402" s="3" t="n"/>
      <c r="J402" s="3" t="n"/>
      <c r="AF402" s="1" t="n"/>
    </row>
    <row r="403" ht="14.25" customHeight="1" s="101">
      <c r="A403" s="1" t="n"/>
      <c r="D403" s="2" t="n"/>
      <c r="E403" s="2" t="n"/>
      <c r="G403" s="1" t="n"/>
      <c r="H403" s="3" t="n"/>
      <c r="I403" s="3" t="n"/>
      <c r="J403" s="3" t="n"/>
      <c r="AF403" s="1" t="n"/>
    </row>
    <row r="404" ht="14.25" customHeight="1" s="101">
      <c r="A404" s="1" t="n"/>
      <c r="D404" s="2" t="n"/>
      <c r="E404" s="2" t="n"/>
      <c r="G404" s="1" t="n"/>
      <c r="H404" s="3" t="n"/>
      <c r="I404" s="3" t="n"/>
      <c r="J404" s="3" t="n"/>
      <c r="AF404" s="1" t="n"/>
    </row>
    <row r="405" ht="14.25" customHeight="1" s="101">
      <c r="A405" s="1" t="n"/>
      <c r="D405" s="2" t="n"/>
      <c r="E405" s="2" t="n"/>
      <c r="G405" s="1" t="n"/>
      <c r="H405" s="3" t="n"/>
      <c r="I405" s="3" t="n"/>
      <c r="J405" s="3" t="n"/>
      <c r="AF405" s="1" t="n"/>
    </row>
    <row r="406" ht="14.25" customHeight="1" s="101">
      <c r="A406" s="1" t="n"/>
      <c r="D406" s="2" t="n"/>
      <c r="E406" s="2" t="n"/>
      <c r="G406" s="1" t="n"/>
      <c r="H406" s="3" t="n"/>
      <c r="I406" s="3" t="n"/>
      <c r="J406" s="3" t="n"/>
      <c r="AF406" s="1" t="n"/>
    </row>
    <row r="407" ht="14.25" customHeight="1" s="101">
      <c r="A407" s="1" t="n"/>
      <c r="D407" s="2" t="n"/>
      <c r="E407" s="2" t="n"/>
      <c r="G407" s="1" t="n"/>
      <c r="H407" s="3" t="n"/>
      <c r="I407" s="3" t="n"/>
      <c r="J407" s="3" t="n"/>
      <c r="AF407" s="1" t="n"/>
    </row>
    <row r="408" ht="14.25" customHeight="1" s="101">
      <c r="A408" s="1" t="n"/>
      <c r="D408" s="2" t="n"/>
      <c r="E408" s="2" t="n"/>
      <c r="G408" s="1" t="n"/>
      <c r="H408" s="3" t="n"/>
      <c r="I408" s="3" t="n"/>
      <c r="J408" s="3" t="n"/>
      <c r="AF408" s="1" t="n"/>
    </row>
    <row r="409" ht="14.25" customHeight="1" s="101">
      <c r="A409" s="1" t="n"/>
      <c r="D409" s="2" t="n"/>
      <c r="E409" s="2" t="n"/>
      <c r="G409" s="1" t="n"/>
      <c r="H409" s="3" t="n"/>
      <c r="I409" s="3" t="n"/>
      <c r="J409" s="3" t="n"/>
      <c r="AF409" s="1" t="n"/>
    </row>
    <row r="410" ht="14.25" customHeight="1" s="101">
      <c r="A410" s="1" t="n"/>
      <c r="D410" s="2" t="n"/>
      <c r="E410" s="2" t="n"/>
      <c r="G410" s="1" t="n"/>
      <c r="H410" s="3" t="n"/>
      <c r="I410" s="3" t="n"/>
      <c r="J410" s="3" t="n"/>
      <c r="AF410" s="1" t="n"/>
    </row>
    <row r="411" ht="14.25" customHeight="1" s="101">
      <c r="A411" s="1" t="n"/>
      <c r="D411" s="2" t="n"/>
      <c r="E411" s="2" t="n"/>
      <c r="G411" s="1" t="n"/>
      <c r="H411" s="3" t="n"/>
      <c r="I411" s="3" t="n"/>
      <c r="J411" s="3" t="n"/>
      <c r="AF411" s="1" t="n"/>
    </row>
    <row r="412" ht="14.25" customHeight="1" s="101">
      <c r="A412" s="1" t="n"/>
      <c r="D412" s="2" t="n"/>
      <c r="E412" s="2" t="n"/>
      <c r="G412" s="1" t="n"/>
      <c r="H412" s="3" t="n"/>
      <c r="I412" s="3" t="n"/>
      <c r="J412" s="3" t="n"/>
      <c r="AF412" s="1" t="n"/>
    </row>
    <row r="413" ht="14.25" customHeight="1" s="101">
      <c r="A413" s="1" t="n"/>
      <c r="D413" s="2" t="n"/>
      <c r="E413" s="2" t="n"/>
      <c r="G413" s="1" t="n"/>
      <c r="H413" s="3" t="n"/>
      <c r="I413" s="3" t="n"/>
      <c r="J413" s="3" t="n"/>
      <c r="AF413" s="1" t="n"/>
    </row>
    <row r="414" ht="14.25" customHeight="1" s="101">
      <c r="A414" s="1" t="n"/>
      <c r="D414" s="2" t="n"/>
      <c r="E414" s="2" t="n"/>
      <c r="G414" s="1" t="n"/>
      <c r="H414" s="3" t="n"/>
      <c r="I414" s="3" t="n"/>
      <c r="J414" s="3" t="n"/>
      <c r="AF414" s="1" t="n"/>
    </row>
    <row r="415" ht="14.25" customHeight="1" s="101">
      <c r="A415" s="1" t="n"/>
      <c r="D415" s="2" t="n"/>
      <c r="E415" s="2" t="n"/>
      <c r="G415" s="1" t="n"/>
      <c r="H415" s="3" t="n"/>
      <c r="I415" s="3" t="n"/>
      <c r="J415" s="3" t="n"/>
      <c r="AF415" s="1" t="n"/>
    </row>
    <row r="416" ht="14.25" customHeight="1" s="101">
      <c r="A416" s="1" t="n"/>
      <c r="D416" s="2" t="n"/>
      <c r="E416" s="2" t="n"/>
      <c r="G416" s="1" t="n"/>
      <c r="H416" s="3" t="n"/>
      <c r="I416" s="3" t="n"/>
      <c r="J416" s="3" t="n"/>
      <c r="AF416" s="1" t="n"/>
    </row>
    <row r="417" ht="14.25" customHeight="1" s="101">
      <c r="A417" s="1" t="n"/>
      <c r="D417" s="2" t="n"/>
      <c r="E417" s="2" t="n"/>
      <c r="G417" s="1" t="n"/>
      <c r="H417" s="3" t="n"/>
      <c r="I417" s="3" t="n"/>
      <c r="J417" s="3" t="n"/>
      <c r="AF417" s="1" t="n"/>
    </row>
    <row r="418" ht="14.25" customHeight="1" s="101">
      <c r="A418" s="1" t="n"/>
      <c r="D418" s="2" t="n"/>
      <c r="E418" s="2" t="n"/>
      <c r="G418" s="1" t="n"/>
      <c r="H418" s="3" t="n"/>
      <c r="I418" s="3" t="n"/>
      <c r="J418" s="3" t="n"/>
      <c r="AF418" s="1" t="n"/>
    </row>
    <row r="419" ht="14.25" customHeight="1" s="101">
      <c r="A419" s="1" t="n"/>
      <c r="D419" s="2" t="n"/>
      <c r="E419" s="2" t="n"/>
      <c r="G419" s="1" t="n"/>
      <c r="H419" s="3" t="n"/>
      <c r="I419" s="3" t="n"/>
      <c r="J419" s="3" t="n"/>
      <c r="AF419" s="1" t="n"/>
    </row>
    <row r="420" ht="14.25" customHeight="1" s="101">
      <c r="A420" s="1" t="n"/>
      <c r="D420" s="2" t="n"/>
      <c r="E420" s="2" t="n"/>
      <c r="G420" s="1" t="n"/>
      <c r="H420" s="3" t="n"/>
      <c r="I420" s="3" t="n"/>
      <c r="J420" s="3" t="n"/>
      <c r="AF420" s="1" t="n"/>
    </row>
    <row r="421" ht="14.25" customHeight="1" s="101">
      <c r="A421" s="1" t="n"/>
      <c r="D421" s="2" t="n"/>
      <c r="E421" s="2" t="n"/>
      <c r="G421" s="1" t="n"/>
      <c r="H421" s="3" t="n"/>
      <c r="I421" s="3" t="n"/>
      <c r="J421" s="3" t="n"/>
      <c r="AF421" s="1" t="n"/>
    </row>
    <row r="422" ht="14.25" customHeight="1" s="101">
      <c r="A422" s="1" t="n"/>
      <c r="D422" s="2" t="n"/>
      <c r="E422" s="2" t="n"/>
      <c r="G422" s="1" t="n"/>
      <c r="H422" s="3" t="n"/>
      <c r="I422" s="3" t="n"/>
      <c r="J422" s="3" t="n"/>
      <c r="AF422" s="1" t="n"/>
    </row>
    <row r="423" ht="14.25" customHeight="1" s="101">
      <c r="A423" s="1" t="n"/>
      <c r="D423" s="2" t="n"/>
      <c r="E423" s="2" t="n"/>
      <c r="G423" s="1" t="n"/>
      <c r="H423" s="3" t="n"/>
      <c r="I423" s="3" t="n"/>
      <c r="J423" s="3" t="n"/>
      <c r="AF423" s="1" t="n"/>
    </row>
    <row r="424" ht="14.25" customHeight="1" s="101">
      <c r="A424" s="1" t="n"/>
      <c r="D424" s="2" t="n"/>
      <c r="E424" s="2" t="n"/>
      <c r="G424" s="1" t="n"/>
      <c r="H424" s="3" t="n"/>
      <c r="I424" s="3" t="n"/>
      <c r="J424" s="3" t="n"/>
      <c r="AF424" s="1" t="n"/>
    </row>
    <row r="425" ht="14.25" customHeight="1" s="101">
      <c r="A425" s="1" t="n"/>
      <c r="D425" s="2" t="n"/>
      <c r="E425" s="2" t="n"/>
      <c r="G425" s="1" t="n"/>
      <c r="H425" s="3" t="n"/>
      <c r="I425" s="3" t="n"/>
      <c r="J425" s="3" t="n"/>
      <c r="AF425" s="1" t="n"/>
    </row>
    <row r="426" ht="14.25" customHeight="1" s="101">
      <c r="A426" s="1" t="n"/>
      <c r="D426" s="2" t="n"/>
      <c r="E426" s="2" t="n"/>
      <c r="G426" s="1" t="n"/>
      <c r="H426" s="3" t="n"/>
      <c r="I426" s="3" t="n"/>
      <c r="J426" s="3" t="n"/>
      <c r="AF426" s="1" t="n"/>
    </row>
    <row r="427" ht="14.25" customHeight="1" s="101">
      <c r="A427" s="1" t="n"/>
      <c r="D427" s="2" t="n"/>
      <c r="E427" s="2" t="n"/>
      <c r="G427" s="1" t="n"/>
      <c r="H427" s="3" t="n"/>
      <c r="I427" s="3" t="n"/>
      <c r="J427" s="3" t="n"/>
      <c r="AF427" s="1" t="n"/>
    </row>
    <row r="428" ht="14.25" customHeight="1" s="101">
      <c r="A428" s="1" t="n"/>
      <c r="D428" s="2" t="n"/>
      <c r="E428" s="2" t="n"/>
      <c r="G428" s="1" t="n"/>
      <c r="H428" s="3" t="n"/>
      <c r="I428" s="3" t="n"/>
      <c r="J428" s="3" t="n"/>
      <c r="AF428" s="1" t="n"/>
    </row>
    <row r="429" ht="14.25" customHeight="1" s="101">
      <c r="A429" s="1" t="n"/>
      <c r="D429" s="2" t="n"/>
      <c r="E429" s="2" t="n"/>
      <c r="G429" s="1" t="n"/>
      <c r="H429" s="3" t="n"/>
      <c r="I429" s="3" t="n"/>
      <c r="J429" s="3" t="n"/>
      <c r="AF429" s="1" t="n"/>
    </row>
    <row r="430" ht="14.25" customHeight="1" s="101">
      <c r="A430" s="1" t="n"/>
      <c r="D430" s="2" t="n"/>
      <c r="E430" s="2" t="n"/>
      <c r="G430" s="1" t="n"/>
      <c r="H430" s="3" t="n"/>
      <c r="I430" s="3" t="n"/>
      <c r="J430" s="3" t="n"/>
      <c r="AF430" s="1" t="n"/>
    </row>
    <row r="431" ht="14.25" customHeight="1" s="101">
      <c r="A431" s="1" t="n"/>
      <c r="D431" s="2" t="n"/>
      <c r="E431" s="2" t="n"/>
      <c r="G431" s="1" t="n"/>
      <c r="H431" s="3" t="n"/>
      <c r="I431" s="3" t="n"/>
      <c r="J431" s="3" t="n"/>
      <c r="AF431" s="1" t="n"/>
    </row>
    <row r="432" ht="14.25" customHeight="1" s="101">
      <c r="A432" s="1" t="n"/>
      <c r="D432" s="2" t="n"/>
      <c r="E432" s="2" t="n"/>
      <c r="G432" s="1" t="n"/>
      <c r="H432" s="3" t="n"/>
      <c r="I432" s="3" t="n"/>
      <c r="J432" s="3" t="n"/>
      <c r="AF432" s="1" t="n"/>
    </row>
    <row r="433" ht="14.25" customHeight="1" s="101">
      <c r="A433" s="1" t="n"/>
      <c r="D433" s="2" t="n"/>
      <c r="E433" s="2" t="n"/>
      <c r="G433" s="1" t="n"/>
      <c r="H433" s="3" t="n"/>
      <c r="I433" s="3" t="n"/>
      <c r="J433" s="3" t="n"/>
      <c r="AF433" s="1" t="n"/>
    </row>
    <row r="434" ht="14.25" customHeight="1" s="101">
      <c r="A434" s="1" t="n"/>
      <c r="D434" s="2" t="n"/>
      <c r="E434" s="2" t="n"/>
      <c r="G434" s="1" t="n"/>
      <c r="H434" s="3" t="n"/>
      <c r="I434" s="3" t="n"/>
      <c r="J434" s="3" t="n"/>
      <c r="AF434" s="1" t="n"/>
    </row>
    <row r="435" ht="14.25" customHeight="1" s="101">
      <c r="A435" s="1" t="n"/>
      <c r="D435" s="2" t="n"/>
      <c r="E435" s="2" t="n"/>
      <c r="G435" s="1" t="n"/>
      <c r="H435" s="3" t="n"/>
      <c r="I435" s="3" t="n"/>
      <c r="J435" s="3" t="n"/>
      <c r="AF435" s="1" t="n"/>
    </row>
    <row r="436" ht="14.25" customHeight="1" s="101">
      <c r="A436" s="1" t="n"/>
      <c r="D436" s="2" t="n"/>
      <c r="E436" s="2" t="n"/>
      <c r="G436" s="1" t="n"/>
      <c r="H436" s="3" t="n"/>
      <c r="I436" s="3" t="n"/>
      <c r="J436" s="3" t="n"/>
      <c r="AF436" s="1" t="n"/>
    </row>
    <row r="437" ht="14.25" customHeight="1" s="101">
      <c r="A437" s="1" t="n"/>
      <c r="D437" s="2" t="n"/>
      <c r="E437" s="2" t="n"/>
      <c r="G437" s="1" t="n"/>
      <c r="H437" s="3" t="n"/>
      <c r="I437" s="3" t="n"/>
      <c r="J437" s="3" t="n"/>
      <c r="AF437" s="1" t="n"/>
    </row>
    <row r="438" ht="14.25" customHeight="1" s="101">
      <c r="A438" s="1" t="n"/>
      <c r="D438" s="2" t="n"/>
      <c r="E438" s="2" t="n"/>
      <c r="G438" s="1" t="n"/>
      <c r="H438" s="3" t="n"/>
      <c r="I438" s="3" t="n"/>
      <c r="J438" s="3" t="n"/>
      <c r="AF438" s="1" t="n"/>
    </row>
    <row r="439" ht="14.25" customHeight="1" s="101">
      <c r="A439" s="1" t="n"/>
      <c r="D439" s="2" t="n"/>
      <c r="E439" s="2" t="n"/>
      <c r="G439" s="1" t="n"/>
      <c r="H439" s="3" t="n"/>
      <c r="I439" s="3" t="n"/>
      <c r="J439" s="3" t="n"/>
      <c r="AF439" s="1" t="n"/>
    </row>
    <row r="440" ht="14.25" customHeight="1" s="101">
      <c r="A440" s="1" t="n"/>
      <c r="D440" s="2" t="n"/>
      <c r="E440" s="2" t="n"/>
      <c r="G440" s="1" t="n"/>
      <c r="H440" s="3" t="n"/>
      <c r="I440" s="3" t="n"/>
      <c r="J440" s="3" t="n"/>
      <c r="AF440" s="1" t="n"/>
    </row>
    <row r="441" ht="14.25" customHeight="1" s="101">
      <c r="A441" s="1" t="n"/>
      <c r="D441" s="2" t="n"/>
      <c r="E441" s="2" t="n"/>
      <c r="G441" s="1" t="n"/>
      <c r="H441" s="3" t="n"/>
      <c r="I441" s="3" t="n"/>
      <c r="J441" s="3" t="n"/>
      <c r="AF441" s="1" t="n"/>
    </row>
    <row r="442" ht="14.25" customHeight="1" s="101">
      <c r="A442" s="1" t="n"/>
      <c r="D442" s="2" t="n"/>
      <c r="E442" s="2" t="n"/>
      <c r="G442" s="1" t="n"/>
      <c r="H442" s="3" t="n"/>
      <c r="I442" s="3" t="n"/>
      <c r="J442" s="3" t="n"/>
      <c r="AF442" s="1" t="n"/>
    </row>
    <row r="443" ht="14.25" customHeight="1" s="101">
      <c r="A443" s="1" t="n"/>
      <c r="D443" s="2" t="n"/>
      <c r="E443" s="2" t="n"/>
      <c r="G443" s="1" t="n"/>
      <c r="H443" s="3" t="n"/>
      <c r="I443" s="3" t="n"/>
      <c r="J443" s="3" t="n"/>
      <c r="AF443" s="1" t="n"/>
    </row>
    <row r="444" ht="14.25" customHeight="1" s="101">
      <c r="A444" s="1" t="n"/>
      <c r="D444" s="2" t="n"/>
      <c r="E444" s="2" t="n"/>
      <c r="G444" s="1" t="n"/>
      <c r="H444" s="3" t="n"/>
      <c r="I444" s="3" t="n"/>
      <c r="J444" s="3" t="n"/>
      <c r="AF444" s="1" t="n"/>
    </row>
    <row r="445" ht="14.25" customHeight="1" s="101">
      <c r="A445" s="1" t="n"/>
      <c r="D445" s="2" t="n"/>
      <c r="E445" s="2" t="n"/>
      <c r="G445" s="1" t="n"/>
      <c r="H445" s="3" t="n"/>
      <c r="I445" s="3" t="n"/>
      <c r="J445" s="3" t="n"/>
      <c r="AF445" s="1" t="n"/>
    </row>
    <row r="446" ht="14.25" customHeight="1" s="101">
      <c r="A446" s="1" t="n"/>
      <c r="D446" s="2" t="n"/>
      <c r="E446" s="2" t="n"/>
      <c r="G446" s="1" t="n"/>
      <c r="H446" s="3" t="n"/>
      <c r="I446" s="3" t="n"/>
      <c r="J446" s="3" t="n"/>
      <c r="AF446" s="1" t="n"/>
    </row>
    <row r="447" ht="14.25" customHeight="1" s="101">
      <c r="A447" s="1" t="n"/>
      <c r="D447" s="2" t="n"/>
      <c r="E447" s="2" t="n"/>
      <c r="G447" s="1" t="n"/>
      <c r="H447" s="3" t="n"/>
      <c r="I447" s="3" t="n"/>
      <c r="J447" s="3" t="n"/>
      <c r="AF447" s="1" t="n"/>
    </row>
    <row r="448" ht="14.25" customHeight="1" s="101">
      <c r="A448" s="1" t="n"/>
      <c r="D448" s="2" t="n"/>
      <c r="E448" s="2" t="n"/>
      <c r="G448" s="1" t="n"/>
      <c r="H448" s="3" t="n"/>
      <c r="I448" s="3" t="n"/>
      <c r="J448" s="3" t="n"/>
      <c r="AF448" s="1" t="n"/>
    </row>
    <row r="449" ht="14.25" customHeight="1" s="101">
      <c r="A449" s="1" t="n"/>
      <c r="D449" s="2" t="n"/>
      <c r="E449" s="2" t="n"/>
      <c r="G449" s="1" t="n"/>
      <c r="H449" s="3" t="n"/>
      <c r="I449" s="3" t="n"/>
      <c r="J449" s="3" t="n"/>
      <c r="AF449" s="1" t="n"/>
    </row>
    <row r="450" ht="14.25" customHeight="1" s="101">
      <c r="A450" s="1" t="n"/>
      <c r="D450" s="2" t="n"/>
      <c r="E450" s="2" t="n"/>
      <c r="G450" s="1" t="n"/>
      <c r="H450" s="3" t="n"/>
      <c r="I450" s="3" t="n"/>
      <c r="J450" s="3" t="n"/>
      <c r="AF450" s="1" t="n"/>
    </row>
    <row r="451" ht="14.25" customHeight="1" s="101">
      <c r="A451" s="1" t="n"/>
      <c r="D451" s="2" t="n"/>
      <c r="E451" s="2" t="n"/>
      <c r="G451" s="1" t="n"/>
      <c r="H451" s="3" t="n"/>
      <c r="I451" s="3" t="n"/>
      <c r="J451" s="3" t="n"/>
      <c r="AF451" s="1" t="n"/>
    </row>
    <row r="452" ht="14.25" customHeight="1" s="101">
      <c r="A452" s="1" t="n"/>
      <c r="D452" s="2" t="n"/>
      <c r="E452" s="2" t="n"/>
      <c r="G452" s="1" t="n"/>
      <c r="H452" s="3" t="n"/>
      <c r="I452" s="3" t="n"/>
      <c r="J452" s="3" t="n"/>
      <c r="AF452" s="1" t="n"/>
    </row>
    <row r="453" ht="14.25" customHeight="1" s="101">
      <c r="A453" s="1" t="n"/>
      <c r="D453" s="2" t="n"/>
      <c r="E453" s="2" t="n"/>
      <c r="G453" s="1" t="n"/>
      <c r="H453" s="3" t="n"/>
      <c r="I453" s="3" t="n"/>
      <c r="J453" s="3" t="n"/>
      <c r="AF453" s="1" t="n"/>
    </row>
    <row r="454" ht="14.25" customHeight="1" s="101">
      <c r="A454" s="1" t="n"/>
      <c r="D454" s="2" t="n"/>
      <c r="E454" s="2" t="n"/>
      <c r="G454" s="1" t="n"/>
      <c r="H454" s="3" t="n"/>
      <c r="I454" s="3" t="n"/>
      <c r="J454" s="3" t="n"/>
      <c r="AF454" s="1" t="n"/>
    </row>
    <row r="455" ht="14.25" customHeight="1" s="101">
      <c r="A455" s="1" t="n"/>
      <c r="D455" s="2" t="n"/>
      <c r="E455" s="2" t="n"/>
      <c r="G455" s="1" t="n"/>
      <c r="H455" s="3" t="n"/>
      <c r="I455" s="3" t="n"/>
      <c r="J455" s="3" t="n"/>
      <c r="AF455" s="1" t="n"/>
    </row>
    <row r="456" ht="14.25" customHeight="1" s="101">
      <c r="A456" s="1" t="n"/>
      <c r="D456" s="2" t="n"/>
      <c r="E456" s="2" t="n"/>
      <c r="G456" s="1" t="n"/>
      <c r="H456" s="3" t="n"/>
      <c r="I456" s="3" t="n"/>
      <c r="J456" s="3" t="n"/>
      <c r="AF456" s="1" t="n"/>
    </row>
    <row r="457" ht="14.25" customHeight="1" s="101">
      <c r="A457" s="1" t="n"/>
      <c r="D457" s="2" t="n"/>
      <c r="E457" s="2" t="n"/>
      <c r="G457" s="1" t="n"/>
      <c r="H457" s="3" t="n"/>
      <c r="I457" s="3" t="n"/>
      <c r="J457" s="3" t="n"/>
      <c r="AF457" s="1" t="n"/>
    </row>
    <row r="458" ht="14.25" customHeight="1" s="101">
      <c r="A458" s="1" t="n"/>
      <c r="D458" s="2" t="n"/>
      <c r="E458" s="2" t="n"/>
      <c r="G458" s="1" t="n"/>
      <c r="H458" s="3" t="n"/>
      <c r="I458" s="3" t="n"/>
      <c r="J458" s="3" t="n"/>
      <c r="AF458" s="1" t="n"/>
    </row>
    <row r="459" ht="14.25" customHeight="1" s="101">
      <c r="A459" s="1" t="n"/>
      <c r="D459" s="2" t="n"/>
      <c r="E459" s="2" t="n"/>
      <c r="G459" s="1" t="n"/>
      <c r="H459" s="3" t="n"/>
      <c r="I459" s="3" t="n"/>
      <c r="J459" s="3" t="n"/>
      <c r="AF459" s="1" t="n"/>
    </row>
    <row r="460" ht="14.25" customHeight="1" s="101">
      <c r="A460" s="1" t="n"/>
      <c r="D460" s="2" t="n"/>
      <c r="E460" s="2" t="n"/>
      <c r="G460" s="1" t="n"/>
      <c r="H460" s="3" t="n"/>
      <c r="I460" s="3" t="n"/>
      <c r="J460" s="3" t="n"/>
      <c r="AF460" s="1" t="n"/>
    </row>
    <row r="461" ht="14.25" customHeight="1" s="101">
      <c r="A461" s="1" t="n"/>
      <c r="D461" s="2" t="n"/>
      <c r="E461" s="2" t="n"/>
      <c r="G461" s="1" t="n"/>
      <c r="H461" s="3" t="n"/>
      <c r="I461" s="3" t="n"/>
      <c r="J461" s="3" t="n"/>
      <c r="AF461" s="1" t="n"/>
    </row>
    <row r="462" ht="14.25" customHeight="1" s="101">
      <c r="A462" s="1" t="n"/>
      <c r="D462" s="2" t="n"/>
      <c r="E462" s="2" t="n"/>
      <c r="G462" s="1" t="n"/>
      <c r="H462" s="3" t="n"/>
      <c r="I462" s="3" t="n"/>
      <c r="J462" s="3" t="n"/>
      <c r="AF462" s="1" t="n"/>
    </row>
    <row r="463" ht="14.25" customHeight="1" s="101">
      <c r="A463" s="1" t="n"/>
      <c r="D463" s="2" t="n"/>
      <c r="E463" s="2" t="n"/>
      <c r="G463" s="1" t="n"/>
      <c r="H463" s="3" t="n"/>
      <c r="I463" s="3" t="n"/>
      <c r="J463" s="3" t="n"/>
      <c r="AF463" s="1" t="n"/>
    </row>
    <row r="464" ht="14.25" customHeight="1" s="101">
      <c r="A464" s="1" t="n"/>
      <c r="D464" s="2" t="n"/>
      <c r="E464" s="2" t="n"/>
      <c r="G464" s="1" t="n"/>
      <c r="H464" s="3" t="n"/>
      <c r="I464" s="3" t="n"/>
      <c r="J464" s="3" t="n"/>
      <c r="AF464" s="1" t="n"/>
    </row>
    <row r="465" ht="14.25" customHeight="1" s="101">
      <c r="A465" s="1" t="n"/>
      <c r="D465" s="2" t="n"/>
      <c r="E465" s="2" t="n"/>
      <c r="G465" s="1" t="n"/>
      <c r="H465" s="3" t="n"/>
      <c r="I465" s="3" t="n"/>
      <c r="J465" s="3" t="n"/>
      <c r="AF465" s="1" t="n"/>
    </row>
    <row r="466" ht="14.25" customHeight="1" s="101">
      <c r="A466" s="1" t="n"/>
      <c r="D466" s="2" t="n"/>
      <c r="E466" s="2" t="n"/>
      <c r="G466" s="1" t="n"/>
      <c r="H466" s="3" t="n"/>
      <c r="I466" s="3" t="n"/>
      <c r="J466" s="3" t="n"/>
      <c r="AF466" s="1" t="n"/>
    </row>
    <row r="467" ht="14.25" customHeight="1" s="101">
      <c r="A467" s="1" t="n"/>
      <c r="D467" s="2" t="n"/>
      <c r="E467" s="2" t="n"/>
      <c r="G467" s="1" t="n"/>
      <c r="H467" s="3" t="n"/>
      <c r="I467" s="3" t="n"/>
      <c r="J467" s="3" t="n"/>
      <c r="AF467" s="1" t="n"/>
    </row>
    <row r="468" ht="14.25" customHeight="1" s="101">
      <c r="A468" s="1" t="n"/>
      <c r="D468" s="2" t="n"/>
      <c r="E468" s="2" t="n"/>
      <c r="G468" s="1" t="n"/>
      <c r="H468" s="3" t="n"/>
      <c r="I468" s="3" t="n"/>
      <c r="J468" s="3" t="n"/>
      <c r="AF468" s="1" t="n"/>
    </row>
    <row r="469" ht="14.25" customHeight="1" s="101">
      <c r="A469" s="1" t="n"/>
      <c r="D469" s="2" t="n"/>
      <c r="E469" s="2" t="n"/>
      <c r="G469" s="1" t="n"/>
      <c r="H469" s="3" t="n"/>
      <c r="I469" s="3" t="n"/>
      <c r="J469" s="3" t="n"/>
      <c r="AF469" s="1" t="n"/>
    </row>
    <row r="470" ht="14.25" customHeight="1" s="101">
      <c r="A470" s="1" t="n"/>
      <c r="D470" s="2" t="n"/>
      <c r="E470" s="2" t="n"/>
      <c r="G470" s="1" t="n"/>
      <c r="H470" s="3" t="n"/>
      <c r="I470" s="3" t="n"/>
      <c r="J470" s="3" t="n"/>
      <c r="AF470" s="1" t="n"/>
    </row>
    <row r="471" ht="14.25" customHeight="1" s="101">
      <c r="A471" s="1" t="n"/>
      <c r="D471" s="2" t="n"/>
      <c r="E471" s="2" t="n"/>
      <c r="G471" s="1" t="n"/>
      <c r="H471" s="3" t="n"/>
      <c r="I471" s="3" t="n"/>
      <c r="J471" s="3" t="n"/>
      <c r="AF471" s="1" t="n"/>
    </row>
    <row r="472" ht="14.25" customHeight="1" s="101">
      <c r="A472" s="1" t="n"/>
      <c r="D472" s="2" t="n"/>
      <c r="E472" s="2" t="n"/>
      <c r="G472" s="1" t="n"/>
      <c r="H472" s="3" t="n"/>
      <c r="I472" s="3" t="n"/>
      <c r="J472" s="3" t="n"/>
      <c r="AF472" s="1" t="n"/>
    </row>
    <row r="473" ht="14.25" customHeight="1" s="101">
      <c r="A473" s="1" t="n"/>
      <c r="D473" s="2" t="n"/>
      <c r="E473" s="2" t="n"/>
      <c r="G473" s="1" t="n"/>
      <c r="H473" s="3" t="n"/>
      <c r="I473" s="3" t="n"/>
      <c r="J473" s="3" t="n"/>
      <c r="AF473" s="1" t="n"/>
    </row>
    <row r="474" ht="14.25" customHeight="1" s="101">
      <c r="A474" s="1" t="n"/>
      <c r="D474" s="2" t="n"/>
      <c r="E474" s="2" t="n"/>
      <c r="G474" s="1" t="n"/>
      <c r="H474" s="3" t="n"/>
      <c r="I474" s="3" t="n"/>
      <c r="J474" s="3" t="n"/>
      <c r="AF474" s="1" t="n"/>
    </row>
    <row r="475" ht="14.25" customHeight="1" s="101">
      <c r="A475" s="1" t="n"/>
      <c r="D475" s="2" t="n"/>
      <c r="E475" s="2" t="n"/>
      <c r="G475" s="1" t="n"/>
      <c r="H475" s="3" t="n"/>
      <c r="I475" s="3" t="n"/>
      <c r="J475" s="3" t="n"/>
      <c r="AF475" s="1" t="n"/>
    </row>
    <row r="476" ht="14.25" customHeight="1" s="101">
      <c r="A476" s="1" t="n"/>
      <c r="D476" s="2" t="n"/>
      <c r="E476" s="2" t="n"/>
      <c r="G476" s="1" t="n"/>
      <c r="H476" s="3" t="n"/>
      <c r="I476" s="3" t="n"/>
      <c r="J476" s="3" t="n"/>
      <c r="AF476" s="1" t="n"/>
    </row>
    <row r="477" ht="14.25" customHeight="1" s="101">
      <c r="A477" s="1" t="n"/>
      <c r="D477" s="2" t="n"/>
      <c r="E477" s="2" t="n"/>
      <c r="G477" s="1" t="n"/>
      <c r="H477" s="3" t="n"/>
      <c r="I477" s="3" t="n"/>
      <c r="J477" s="3" t="n"/>
      <c r="AF477" s="1" t="n"/>
    </row>
    <row r="478" ht="14.25" customHeight="1" s="101">
      <c r="A478" s="1" t="n"/>
      <c r="D478" s="2" t="n"/>
      <c r="E478" s="2" t="n"/>
      <c r="G478" s="1" t="n"/>
      <c r="H478" s="3" t="n"/>
      <c r="I478" s="3" t="n"/>
      <c r="J478" s="3" t="n"/>
      <c r="AF478" s="1" t="n"/>
    </row>
    <row r="479" ht="14.25" customHeight="1" s="101">
      <c r="A479" s="1" t="n"/>
      <c r="D479" s="2" t="n"/>
      <c r="E479" s="2" t="n"/>
      <c r="G479" s="1" t="n"/>
      <c r="H479" s="3" t="n"/>
      <c r="I479" s="3" t="n"/>
      <c r="J479" s="3" t="n"/>
      <c r="AF479" s="1" t="n"/>
    </row>
    <row r="480" ht="14.25" customHeight="1" s="101">
      <c r="A480" s="1" t="n"/>
      <c r="D480" s="2" t="n"/>
      <c r="E480" s="2" t="n"/>
      <c r="G480" s="1" t="n"/>
      <c r="H480" s="3" t="n"/>
      <c r="I480" s="3" t="n"/>
      <c r="J480" s="3" t="n"/>
      <c r="AF480" s="1" t="n"/>
    </row>
    <row r="481" ht="14.25" customHeight="1" s="101">
      <c r="A481" s="1" t="n"/>
      <c r="D481" s="2" t="n"/>
      <c r="E481" s="2" t="n"/>
      <c r="G481" s="1" t="n"/>
      <c r="H481" s="3" t="n"/>
      <c r="I481" s="3" t="n"/>
      <c r="J481" s="3" t="n"/>
      <c r="AF481" s="1" t="n"/>
    </row>
    <row r="482" ht="14.25" customHeight="1" s="101">
      <c r="A482" s="1" t="n"/>
      <c r="D482" s="2" t="n"/>
      <c r="E482" s="2" t="n"/>
      <c r="G482" s="1" t="n"/>
      <c r="H482" s="3" t="n"/>
      <c r="I482" s="3" t="n"/>
      <c r="J482" s="3" t="n"/>
      <c r="AF482" s="1" t="n"/>
    </row>
    <row r="483" ht="14.25" customHeight="1" s="101">
      <c r="A483" s="1" t="n"/>
      <c r="D483" s="2" t="n"/>
      <c r="E483" s="2" t="n"/>
      <c r="G483" s="1" t="n"/>
      <c r="H483" s="3" t="n"/>
      <c r="I483" s="3" t="n"/>
      <c r="J483" s="3" t="n"/>
      <c r="AF483" s="1" t="n"/>
    </row>
    <row r="484" ht="14.25" customHeight="1" s="101">
      <c r="A484" s="1" t="n"/>
      <c r="D484" s="2" t="n"/>
      <c r="E484" s="2" t="n"/>
      <c r="G484" s="1" t="n"/>
      <c r="H484" s="3" t="n"/>
      <c r="I484" s="3" t="n"/>
      <c r="J484" s="3" t="n"/>
      <c r="AF484" s="1" t="n"/>
    </row>
    <row r="485" ht="14.25" customHeight="1" s="101">
      <c r="A485" s="1" t="n"/>
      <c r="D485" s="2" t="n"/>
      <c r="E485" s="2" t="n"/>
      <c r="G485" s="1" t="n"/>
      <c r="H485" s="3" t="n"/>
      <c r="I485" s="3" t="n"/>
      <c r="J485" s="3" t="n"/>
      <c r="AF485" s="1" t="n"/>
    </row>
    <row r="486" ht="14.25" customHeight="1" s="101">
      <c r="A486" s="1" t="n"/>
      <c r="D486" s="2" t="n"/>
      <c r="E486" s="2" t="n"/>
      <c r="G486" s="1" t="n"/>
      <c r="H486" s="3" t="n"/>
      <c r="I486" s="3" t="n"/>
      <c r="J486" s="3" t="n"/>
      <c r="AF486" s="1" t="n"/>
    </row>
    <row r="487" ht="14.25" customHeight="1" s="101">
      <c r="A487" s="1" t="n"/>
      <c r="D487" s="2" t="n"/>
      <c r="E487" s="2" t="n"/>
      <c r="G487" s="1" t="n"/>
      <c r="H487" s="3" t="n"/>
      <c r="I487" s="3" t="n"/>
      <c r="J487" s="3" t="n"/>
      <c r="AF487" s="1" t="n"/>
    </row>
    <row r="488" ht="14.25" customHeight="1" s="101">
      <c r="A488" s="1" t="n"/>
      <c r="D488" s="2" t="n"/>
      <c r="E488" s="2" t="n"/>
      <c r="G488" s="1" t="n"/>
      <c r="H488" s="3" t="n"/>
      <c r="I488" s="3" t="n"/>
      <c r="J488" s="3" t="n"/>
      <c r="AF488" s="1" t="n"/>
    </row>
    <row r="489" ht="14.25" customHeight="1" s="101">
      <c r="A489" s="1" t="n"/>
      <c r="D489" s="2" t="n"/>
      <c r="E489" s="2" t="n"/>
      <c r="G489" s="1" t="n"/>
      <c r="H489" s="3" t="n"/>
      <c r="I489" s="3" t="n"/>
      <c r="J489" s="3" t="n"/>
      <c r="AF489" s="1" t="n"/>
    </row>
    <row r="490" ht="14.25" customHeight="1" s="101">
      <c r="A490" s="1" t="n"/>
      <c r="D490" s="2" t="n"/>
      <c r="E490" s="2" t="n"/>
      <c r="G490" s="1" t="n"/>
      <c r="H490" s="3" t="n"/>
      <c r="I490" s="3" t="n"/>
      <c r="J490" s="3" t="n"/>
      <c r="AF490" s="1" t="n"/>
    </row>
    <row r="491" ht="14.25" customHeight="1" s="101">
      <c r="A491" s="1" t="n"/>
      <c r="D491" s="2" t="n"/>
      <c r="E491" s="2" t="n"/>
      <c r="G491" s="1" t="n"/>
      <c r="H491" s="3" t="n"/>
      <c r="I491" s="3" t="n"/>
      <c r="J491" s="3" t="n"/>
      <c r="AF491" s="1" t="n"/>
    </row>
    <row r="492" ht="14.25" customHeight="1" s="101">
      <c r="A492" s="1" t="n"/>
      <c r="D492" s="2" t="n"/>
      <c r="E492" s="2" t="n"/>
      <c r="G492" s="1" t="n"/>
      <c r="H492" s="3" t="n"/>
      <c r="I492" s="3" t="n"/>
      <c r="J492" s="3" t="n"/>
      <c r="AF492" s="1" t="n"/>
    </row>
    <row r="493" ht="14.25" customHeight="1" s="101">
      <c r="A493" s="1" t="n"/>
      <c r="D493" s="2" t="n"/>
      <c r="E493" s="2" t="n"/>
      <c r="G493" s="1" t="n"/>
      <c r="H493" s="3" t="n"/>
      <c r="I493" s="3" t="n"/>
      <c r="J493" s="3" t="n"/>
      <c r="AF493" s="1" t="n"/>
    </row>
    <row r="494" ht="14.25" customHeight="1" s="101">
      <c r="A494" s="1" t="n"/>
      <c r="D494" s="2" t="n"/>
      <c r="E494" s="2" t="n"/>
      <c r="G494" s="1" t="n"/>
      <c r="H494" s="3" t="n"/>
      <c r="I494" s="3" t="n"/>
      <c r="J494" s="3" t="n"/>
      <c r="AF494" s="1" t="n"/>
    </row>
    <row r="495" ht="14.25" customHeight="1" s="101">
      <c r="A495" s="1" t="n"/>
      <c r="D495" s="2" t="n"/>
      <c r="E495" s="2" t="n"/>
      <c r="G495" s="1" t="n"/>
      <c r="H495" s="3" t="n"/>
      <c r="I495" s="3" t="n"/>
      <c r="J495" s="3" t="n"/>
      <c r="AF495" s="1" t="n"/>
    </row>
    <row r="496" ht="14.25" customHeight="1" s="101">
      <c r="A496" s="1" t="n"/>
      <c r="D496" s="2" t="n"/>
      <c r="E496" s="2" t="n"/>
      <c r="G496" s="1" t="n"/>
      <c r="H496" s="3" t="n"/>
      <c r="I496" s="3" t="n"/>
      <c r="J496" s="3" t="n"/>
      <c r="AF496" s="1" t="n"/>
    </row>
    <row r="497" ht="14.25" customHeight="1" s="101">
      <c r="A497" s="1" t="n"/>
      <c r="D497" s="2" t="n"/>
      <c r="E497" s="2" t="n"/>
      <c r="G497" s="1" t="n"/>
      <c r="H497" s="3" t="n"/>
      <c r="I497" s="3" t="n"/>
      <c r="J497" s="3" t="n"/>
      <c r="AF497" s="1" t="n"/>
    </row>
    <row r="498" ht="14.25" customHeight="1" s="101">
      <c r="A498" s="1" t="n"/>
      <c r="D498" s="2" t="n"/>
      <c r="E498" s="2" t="n"/>
      <c r="G498" s="1" t="n"/>
      <c r="H498" s="3" t="n"/>
      <c r="I498" s="3" t="n"/>
      <c r="J498" s="3" t="n"/>
      <c r="AF498" s="1" t="n"/>
    </row>
    <row r="499" ht="14.25" customHeight="1" s="101">
      <c r="A499" s="1" t="n"/>
      <c r="D499" s="2" t="n"/>
      <c r="E499" s="2" t="n"/>
      <c r="G499" s="1" t="n"/>
      <c r="H499" s="3" t="n"/>
      <c r="I499" s="3" t="n"/>
      <c r="J499" s="3" t="n"/>
      <c r="AF499" s="1" t="n"/>
    </row>
    <row r="500" ht="14.25" customHeight="1" s="101">
      <c r="A500" s="1" t="n"/>
      <c r="D500" s="2" t="n"/>
      <c r="E500" s="2" t="n"/>
      <c r="G500" s="1" t="n"/>
      <c r="H500" s="3" t="n"/>
      <c r="I500" s="3" t="n"/>
      <c r="J500" s="3" t="n"/>
      <c r="AF500" s="1" t="n"/>
    </row>
    <row r="501" ht="14.25" customHeight="1" s="101">
      <c r="A501" s="1" t="n"/>
      <c r="D501" s="2" t="n"/>
      <c r="E501" s="2" t="n"/>
      <c r="G501" s="1" t="n"/>
      <c r="H501" s="3" t="n"/>
      <c r="I501" s="3" t="n"/>
      <c r="J501" s="3" t="n"/>
      <c r="AF501" s="1" t="n"/>
    </row>
    <row r="502" ht="14.25" customHeight="1" s="101">
      <c r="A502" s="1" t="n"/>
      <c r="D502" s="2" t="n"/>
      <c r="E502" s="2" t="n"/>
      <c r="G502" s="1" t="n"/>
      <c r="H502" s="3" t="n"/>
      <c r="I502" s="3" t="n"/>
      <c r="J502" s="3" t="n"/>
      <c r="AF502" s="1" t="n"/>
    </row>
    <row r="503" ht="14.25" customHeight="1" s="101">
      <c r="A503" s="1" t="n"/>
      <c r="D503" s="2" t="n"/>
      <c r="E503" s="2" t="n"/>
      <c r="G503" s="1" t="n"/>
      <c r="H503" s="3" t="n"/>
      <c r="I503" s="3" t="n"/>
      <c r="J503" s="3" t="n"/>
      <c r="AF503" s="1" t="n"/>
    </row>
    <row r="504" ht="14.25" customHeight="1" s="101">
      <c r="A504" s="1" t="n"/>
      <c r="D504" s="2" t="n"/>
      <c r="E504" s="2" t="n"/>
      <c r="G504" s="1" t="n"/>
      <c r="H504" s="3" t="n"/>
      <c r="I504" s="3" t="n"/>
      <c r="J504" s="3" t="n"/>
      <c r="AF504" s="1" t="n"/>
    </row>
    <row r="505" ht="14.25" customHeight="1" s="101">
      <c r="A505" s="1" t="n"/>
      <c r="D505" s="2" t="n"/>
      <c r="E505" s="2" t="n"/>
      <c r="G505" s="1" t="n"/>
      <c r="H505" s="3" t="n"/>
      <c r="I505" s="3" t="n"/>
      <c r="J505" s="3" t="n"/>
      <c r="AF505" s="1" t="n"/>
    </row>
    <row r="506" ht="14.25" customHeight="1" s="101">
      <c r="A506" s="1" t="n"/>
      <c r="D506" s="2" t="n"/>
      <c r="E506" s="2" t="n"/>
      <c r="G506" s="1" t="n"/>
      <c r="H506" s="3" t="n"/>
      <c r="I506" s="3" t="n"/>
      <c r="J506" s="3" t="n"/>
      <c r="AF506" s="1" t="n"/>
    </row>
    <row r="507" ht="14.25" customHeight="1" s="101">
      <c r="A507" s="1" t="n"/>
      <c r="D507" s="2" t="n"/>
      <c r="E507" s="2" t="n"/>
      <c r="G507" s="1" t="n"/>
      <c r="H507" s="3" t="n"/>
      <c r="I507" s="3" t="n"/>
      <c r="J507" s="3" t="n"/>
      <c r="AF507" s="1" t="n"/>
    </row>
    <row r="508" ht="14.25" customHeight="1" s="101">
      <c r="A508" s="1" t="n"/>
      <c r="D508" s="2" t="n"/>
      <c r="E508" s="2" t="n"/>
      <c r="G508" s="1" t="n"/>
      <c r="H508" s="3" t="n"/>
      <c r="I508" s="3" t="n"/>
      <c r="J508" s="3" t="n"/>
      <c r="AF508" s="1" t="n"/>
    </row>
    <row r="509" ht="14.25" customHeight="1" s="101">
      <c r="A509" s="1" t="n"/>
      <c r="D509" s="2" t="n"/>
      <c r="E509" s="2" t="n"/>
      <c r="G509" s="1" t="n"/>
      <c r="H509" s="3" t="n"/>
      <c r="I509" s="3" t="n"/>
      <c r="J509" s="3" t="n"/>
      <c r="AF509" s="1" t="n"/>
    </row>
    <row r="510" ht="14.25" customHeight="1" s="101">
      <c r="A510" s="1" t="n"/>
      <c r="D510" s="2" t="n"/>
      <c r="E510" s="2" t="n"/>
      <c r="G510" s="1" t="n"/>
      <c r="H510" s="3" t="n"/>
      <c r="I510" s="3" t="n"/>
      <c r="J510" s="3" t="n"/>
      <c r="AF510" s="1" t="n"/>
    </row>
    <row r="511" ht="14.25" customHeight="1" s="101">
      <c r="A511" s="1" t="n"/>
      <c r="D511" s="2" t="n"/>
      <c r="E511" s="2" t="n"/>
      <c r="G511" s="1" t="n"/>
      <c r="H511" s="3" t="n"/>
      <c r="I511" s="3" t="n"/>
      <c r="J511" s="3" t="n"/>
      <c r="AF511" s="1" t="n"/>
    </row>
    <row r="512" ht="14.25" customHeight="1" s="101">
      <c r="A512" s="1" t="n"/>
      <c r="D512" s="2" t="n"/>
      <c r="E512" s="2" t="n"/>
      <c r="G512" s="1" t="n"/>
      <c r="H512" s="3" t="n"/>
      <c r="I512" s="3" t="n"/>
      <c r="J512" s="3" t="n"/>
      <c r="AF512" s="1" t="n"/>
    </row>
    <row r="513" ht="14.25" customHeight="1" s="101">
      <c r="A513" s="1" t="n"/>
      <c r="D513" s="2" t="n"/>
      <c r="E513" s="2" t="n"/>
      <c r="G513" s="1" t="n"/>
      <c r="H513" s="3" t="n"/>
      <c r="I513" s="3" t="n"/>
      <c r="J513" s="3" t="n"/>
      <c r="AF513" s="1" t="n"/>
    </row>
    <row r="514" ht="14.25" customHeight="1" s="101">
      <c r="A514" s="1" t="n"/>
      <c r="D514" s="2" t="n"/>
      <c r="E514" s="2" t="n"/>
      <c r="G514" s="1" t="n"/>
      <c r="H514" s="3" t="n"/>
      <c r="I514" s="3" t="n"/>
      <c r="J514" s="3" t="n"/>
      <c r="AF514" s="1" t="n"/>
    </row>
    <row r="515" ht="14.25" customHeight="1" s="101">
      <c r="A515" s="1" t="n"/>
      <c r="D515" s="2" t="n"/>
      <c r="E515" s="2" t="n"/>
      <c r="G515" s="1" t="n"/>
      <c r="H515" s="3" t="n"/>
      <c r="I515" s="3" t="n"/>
      <c r="J515" s="3" t="n"/>
      <c r="AF515" s="1" t="n"/>
    </row>
    <row r="516" ht="14.25" customHeight="1" s="101">
      <c r="A516" s="1" t="n"/>
      <c r="D516" s="2" t="n"/>
      <c r="E516" s="2" t="n"/>
      <c r="G516" s="1" t="n"/>
      <c r="H516" s="3" t="n"/>
      <c r="I516" s="3" t="n"/>
      <c r="J516" s="3" t="n"/>
      <c r="AF516" s="1" t="n"/>
    </row>
    <row r="517" ht="14.25" customHeight="1" s="101">
      <c r="A517" s="1" t="n"/>
      <c r="D517" s="2" t="n"/>
      <c r="E517" s="2" t="n"/>
      <c r="G517" s="1" t="n"/>
      <c r="H517" s="3" t="n"/>
      <c r="I517" s="3" t="n"/>
      <c r="J517" s="3" t="n"/>
      <c r="AF517" s="1" t="n"/>
    </row>
    <row r="518" ht="14.25" customHeight="1" s="101">
      <c r="A518" s="1" t="n"/>
      <c r="D518" s="2" t="n"/>
      <c r="E518" s="2" t="n"/>
      <c r="G518" s="1" t="n"/>
      <c r="H518" s="3" t="n"/>
      <c r="I518" s="3" t="n"/>
      <c r="J518" s="3" t="n"/>
      <c r="AF518" s="1" t="n"/>
    </row>
    <row r="519" ht="14.25" customHeight="1" s="101">
      <c r="A519" s="1" t="n"/>
      <c r="D519" s="2" t="n"/>
      <c r="E519" s="2" t="n"/>
      <c r="G519" s="1" t="n"/>
      <c r="H519" s="3" t="n"/>
      <c r="I519" s="3" t="n"/>
      <c r="J519" s="3" t="n"/>
      <c r="AF519" s="1" t="n"/>
    </row>
    <row r="520" ht="14.25" customHeight="1" s="101">
      <c r="A520" s="1" t="n"/>
      <c r="D520" s="2" t="n"/>
      <c r="E520" s="2" t="n"/>
      <c r="G520" s="1" t="n"/>
      <c r="H520" s="3" t="n"/>
      <c r="I520" s="3" t="n"/>
      <c r="J520" s="3" t="n"/>
      <c r="AF520" s="1" t="n"/>
    </row>
    <row r="521" ht="14.25" customHeight="1" s="101">
      <c r="A521" s="1" t="n"/>
      <c r="D521" s="2" t="n"/>
      <c r="E521" s="2" t="n"/>
      <c r="G521" s="1" t="n"/>
      <c r="H521" s="3" t="n"/>
      <c r="I521" s="3" t="n"/>
      <c r="J521" s="3" t="n"/>
      <c r="AF521" s="1" t="n"/>
    </row>
    <row r="522" ht="14.25" customHeight="1" s="101">
      <c r="A522" s="1" t="n"/>
      <c r="D522" s="2" t="n"/>
      <c r="E522" s="2" t="n"/>
      <c r="G522" s="1" t="n"/>
      <c r="H522" s="3" t="n"/>
      <c r="I522" s="3" t="n"/>
      <c r="J522" s="3" t="n"/>
      <c r="AF522" s="1" t="n"/>
    </row>
    <row r="523" ht="14.25" customHeight="1" s="101">
      <c r="A523" s="1" t="n"/>
      <c r="D523" s="2" t="n"/>
      <c r="E523" s="2" t="n"/>
      <c r="G523" s="1" t="n"/>
      <c r="H523" s="3" t="n"/>
      <c r="I523" s="3" t="n"/>
      <c r="J523" s="3" t="n"/>
      <c r="AF523" s="1" t="n"/>
    </row>
    <row r="524" ht="14.25" customHeight="1" s="101">
      <c r="A524" s="1" t="n"/>
      <c r="D524" s="2" t="n"/>
      <c r="E524" s="2" t="n"/>
      <c r="G524" s="1" t="n"/>
      <c r="H524" s="3" t="n"/>
      <c r="I524" s="3" t="n"/>
      <c r="J524" s="3" t="n"/>
      <c r="AF524" s="1" t="n"/>
    </row>
    <row r="525" ht="14.25" customHeight="1" s="101">
      <c r="A525" s="1" t="n"/>
      <c r="D525" s="2" t="n"/>
      <c r="E525" s="2" t="n"/>
      <c r="G525" s="1" t="n"/>
      <c r="H525" s="3" t="n"/>
      <c r="I525" s="3" t="n"/>
      <c r="J525" s="3" t="n"/>
      <c r="AF525" s="1" t="n"/>
    </row>
    <row r="526" ht="14.25" customHeight="1" s="101">
      <c r="A526" s="1" t="n"/>
      <c r="D526" s="2" t="n"/>
      <c r="E526" s="2" t="n"/>
      <c r="G526" s="1" t="n"/>
      <c r="H526" s="3" t="n"/>
      <c r="I526" s="3" t="n"/>
      <c r="J526" s="3" t="n"/>
      <c r="AF526" s="1" t="n"/>
    </row>
    <row r="527" ht="14.25" customHeight="1" s="101">
      <c r="A527" s="1" t="n"/>
      <c r="D527" s="2" t="n"/>
      <c r="E527" s="2" t="n"/>
      <c r="G527" s="1" t="n"/>
      <c r="H527" s="3" t="n"/>
      <c r="I527" s="3" t="n"/>
      <c r="J527" s="3" t="n"/>
      <c r="AF527" s="1" t="n"/>
    </row>
    <row r="528" ht="14.25" customHeight="1" s="101">
      <c r="A528" s="1" t="n"/>
      <c r="D528" s="2" t="n"/>
      <c r="E528" s="2" t="n"/>
      <c r="G528" s="1" t="n"/>
      <c r="H528" s="3" t="n"/>
      <c r="I528" s="3" t="n"/>
      <c r="J528" s="3" t="n"/>
      <c r="AF528" s="1" t="n"/>
    </row>
    <row r="529" ht="14.25" customHeight="1" s="101">
      <c r="A529" s="1" t="n"/>
      <c r="D529" s="2" t="n"/>
      <c r="E529" s="2" t="n"/>
      <c r="G529" s="1" t="n"/>
      <c r="H529" s="3" t="n"/>
      <c r="I529" s="3" t="n"/>
      <c r="J529" s="3" t="n"/>
      <c r="AF529" s="1" t="n"/>
    </row>
    <row r="530" ht="14.25" customHeight="1" s="101">
      <c r="A530" s="1" t="n"/>
      <c r="D530" s="2" t="n"/>
      <c r="E530" s="2" t="n"/>
      <c r="G530" s="1" t="n"/>
      <c r="H530" s="3" t="n"/>
      <c r="I530" s="3" t="n"/>
      <c r="J530" s="3" t="n"/>
      <c r="AF530" s="1" t="n"/>
    </row>
    <row r="531" ht="14.25" customHeight="1" s="101">
      <c r="A531" s="1" t="n"/>
      <c r="D531" s="2" t="n"/>
      <c r="E531" s="2" t="n"/>
      <c r="G531" s="1" t="n"/>
      <c r="H531" s="3" t="n"/>
      <c r="I531" s="3" t="n"/>
      <c r="J531" s="3" t="n"/>
      <c r="AF531" s="1" t="n"/>
    </row>
    <row r="532" ht="14.25" customHeight="1" s="101">
      <c r="A532" s="1" t="n"/>
      <c r="D532" s="2" t="n"/>
      <c r="E532" s="2" t="n"/>
      <c r="G532" s="1" t="n"/>
      <c r="H532" s="3" t="n"/>
      <c r="I532" s="3" t="n"/>
      <c r="J532" s="3" t="n"/>
      <c r="AF532" s="1" t="n"/>
    </row>
    <row r="533" ht="14.25" customHeight="1" s="101">
      <c r="A533" s="1" t="n"/>
      <c r="D533" s="2" t="n"/>
      <c r="E533" s="2" t="n"/>
      <c r="G533" s="1" t="n"/>
      <c r="H533" s="3" t="n"/>
      <c r="I533" s="3" t="n"/>
      <c r="J533" s="3" t="n"/>
      <c r="AF533" s="1" t="n"/>
    </row>
    <row r="534" ht="14.25" customHeight="1" s="101">
      <c r="A534" s="1" t="n"/>
      <c r="D534" s="2" t="n"/>
      <c r="E534" s="2" t="n"/>
      <c r="G534" s="1" t="n"/>
      <c r="H534" s="3" t="n"/>
      <c r="I534" s="3" t="n"/>
      <c r="J534" s="3" t="n"/>
      <c r="AF534" s="1" t="n"/>
    </row>
    <row r="535" ht="14.25" customHeight="1" s="101">
      <c r="A535" s="1" t="n"/>
      <c r="D535" s="2" t="n"/>
      <c r="E535" s="2" t="n"/>
      <c r="G535" s="1" t="n"/>
      <c r="H535" s="3" t="n"/>
      <c r="I535" s="3" t="n"/>
      <c r="J535" s="3" t="n"/>
      <c r="AF535" s="1" t="n"/>
    </row>
    <row r="536" ht="14.25" customHeight="1" s="101">
      <c r="A536" s="1" t="n"/>
      <c r="D536" s="2" t="n"/>
      <c r="E536" s="2" t="n"/>
      <c r="G536" s="1" t="n"/>
      <c r="H536" s="3" t="n"/>
      <c r="I536" s="3" t="n"/>
      <c r="J536" s="3" t="n"/>
      <c r="AF536" s="1" t="n"/>
    </row>
    <row r="537" ht="14.25" customHeight="1" s="101">
      <c r="A537" s="1" t="n"/>
      <c r="D537" s="2" t="n"/>
      <c r="E537" s="2" t="n"/>
      <c r="G537" s="1" t="n"/>
      <c r="H537" s="3" t="n"/>
      <c r="I537" s="3" t="n"/>
      <c r="J537" s="3" t="n"/>
      <c r="AF537" s="1" t="n"/>
    </row>
    <row r="538" ht="14.25" customHeight="1" s="101">
      <c r="A538" s="1" t="n"/>
      <c r="D538" s="2" t="n"/>
      <c r="E538" s="2" t="n"/>
      <c r="G538" s="1" t="n"/>
      <c r="H538" s="3" t="n"/>
      <c r="I538" s="3" t="n"/>
      <c r="J538" s="3" t="n"/>
      <c r="AF538" s="1" t="n"/>
    </row>
    <row r="539" ht="14.25" customHeight="1" s="101">
      <c r="A539" s="1" t="n"/>
      <c r="D539" s="2" t="n"/>
      <c r="E539" s="2" t="n"/>
      <c r="G539" s="1" t="n"/>
      <c r="H539" s="3" t="n"/>
      <c r="I539" s="3" t="n"/>
      <c r="J539" s="3" t="n"/>
      <c r="AF539" s="1" t="n"/>
    </row>
    <row r="540" ht="14.25" customHeight="1" s="101">
      <c r="A540" s="1" t="n"/>
      <c r="D540" s="2" t="n"/>
      <c r="E540" s="2" t="n"/>
      <c r="G540" s="1" t="n"/>
      <c r="H540" s="3" t="n"/>
      <c r="I540" s="3" t="n"/>
      <c r="J540" s="3" t="n"/>
      <c r="AF540" s="1" t="n"/>
    </row>
    <row r="541" ht="14.25" customHeight="1" s="101">
      <c r="A541" s="1" t="n"/>
      <c r="D541" s="2" t="n"/>
      <c r="E541" s="2" t="n"/>
      <c r="G541" s="1" t="n"/>
      <c r="H541" s="3" t="n"/>
      <c r="I541" s="3" t="n"/>
      <c r="J541" s="3" t="n"/>
      <c r="AF541" s="1" t="n"/>
    </row>
    <row r="542" ht="14.25" customHeight="1" s="101">
      <c r="A542" s="1" t="n"/>
      <c r="D542" s="2" t="n"/>
      <c r="E542" s="2" t="n"/>
      <c r="G542" s="1" t="n"/>
      <c r="H542" s="3" t="n"/>
      <c r="I542" s="3" t="n"/>
      <c r="J542" s="3" t="n"/>
      <c r="AF542" s="1" t="n"/>
    </row>
    <row r="543" ht="14.25" customHeight="1" s="101">
      <c r="A543" s="1" t="n"/>
      <c r="D543" s="2" t="n"/>
      <c r="E543" s="2" t="n"/>
      <c r="G543" s="1" t="n"/>
      <c r="H543" s="3" t="n"/>
      <c r="I543" s="3" t="n"/>
      <c r="J543" s="3" t="n"/>
      <c r="AF543" s="1" t="n"/>
    </row>
    <row r="544" ht="14.25" customHeight="1" s="101">
      <c r="A544" s="1" t="n"/>
      <c r="D544" s="2" t="n"/>
      <c r="E544" s="2" t="n"/>
      <c r="G544" s="1" t="n"/>
      <c r="H544" s="3" t="n"/>
      <c r="I544" s="3" t="n"/>
      <c r="J544" s="3" t="n"/>
      <c r="AF544" s="1" t="n"/>
    </row>
    <row r="545" ht="14.25" customHeight="1" s="101">
      <c r="A545" s="1" t="n"/>
      <c r="D545" s="2" t="n"/>
      <c r="E545" s="2" t="n"/>
      <c r="G545" s="1" t="n"/>
      <c r="H545" s="3" t="n"/>
      <c r="I545" s="3" t="n"/>
      <c r="J545" s="3" t="n"/>
      <c r="AF545" s="1" t="n"/>
    </row>
    <row r="546" ht="14.25" customHeight="1" s="101">
      <c r="A546" s="1" t="n"/>
      <c r="D546" s="2" t="n"/>
      <c r="E546" s="2" t="n"/>
      <c r="G546" s="1" t="n"/>
      <c r="H546" s="3" t="n"/>
      <c r="I546" s="3" t="n"/>
      <c r="J546" s="3" t="n"/>
      <c r="AF546" s="1" t="n"/>
    </row>
    <row r="547" ht="14.25" customHeight="1" s="101">
      <c r="A547" s="1" t="n"/>
      <c r="D547" s="2" t="n"/>
      <c r="E547" s="2" t="n"/>
      <c r="G547" s="1" t="n"/>
      <c r="H547" s="3" t="n"/>
      <c r="I547" s="3" t="n"/>
      <c r="J547" s="3" t="n"/>
      <c r="AF547" s="1" t="n"/>
    </row>
    <row r="548" ht="14.25" customHeight="1" s="101">
      <c r="A548" s="1" t="n"/>
      <c r="D548" s="2" t="n"/>
      <c r="E548" s="2" t="n"/>
      <c r="G548" s="1" t="n"/>
      <c r="H548" s="3" t="n"/>
      <c r="I548" s="3" t="n"/>
      <c r="J548" s="3" t="n"/>
      <c r="AF548" s="1" t="n"/>
    </row>
    <row r="549" ht="14.25" customHeight="1" s="101">
      <c r="A549" s="1" t="n"/>
      <c r="D549" s="2" t="n"/>
      <c r="E549" s="2" t="n"/>
      <c r="G549" s="1" t="n"/>
      <c r="H549" s="3" t="n"/>
      <c r="I549" s="3" t="n"/>
      <c r="J549" s="3" t="n"/>
      <c r="AF549" s="1" t="n"/>
    </row>
    <row r="550" ht="14.25" customHeight="1" s="101">
      <c r="A550" s="1" t="n"/>
      <c r="D550" s="2" t="n"/>
      <c r="E550" s="2" t="n"/>
      <c r="G550" s="1" t="n"/>
      <c r="H550" s="3" t="n"/>
      <c r="I550" s="3" t="n"/>
      <c r="J550" s="3" t="n"/>
      <c r="AF550" s="1" t="n"/>
    </row>
    <row r="551" ht="14.25" customHeight="1" s="101">
      <c r="A551" s="1" t="n"/>
      <c r="D551" s="2" t="n"/>
      <c r="E551" s="2" t="n"/>
      <c r="G551" s="1" t="n"/>
      <c r="H551" s="3" t="n"/>
      <c r="I551" s="3" t="n"/>
      <c r="J551" s="3" t="n"/>
      <c r="AF551" s="1" t="n"/>
    </row>
    <row r="552" ht="14.25" customHeight="1" s="101">
      <c r="A552" s="1" t="n"/>
      <c r="D552" s="2" t="n"/>
      <c r="E552" s="2" t="n"/>
      <c r="G552" s="1" t="n"/>
      <c r="H552" s="3" t="n"/>
      <c r="I552" s="3" t="n"/>
      <c r="J552" s="3" t="n"/>
      <c r="AF552" s="1" t="n"/>
    </row>
    <row r="553" ht="14.25" customHeight="1" s="101">
      <c r="A553" s="1" t="n"/>
      <c r="D553" s="2" t="n"/>
      <c r="E553" s="2" t="n"/>
      <c r="G553" s="1" t="n"/>
      <c r="H553" s="3" t="n"/>
      <c r="I553" s="3" t="n"/>
      <c r="J553" s="3" t="n"/>
      <c r="AF553" s="1" t="n"/>
    </row>
    <row r="554" ht="14.25" customHeight="1" s="101">
      <c r="A554" s="1" t="n"/>
      <c r="D554" s="2" t="n"/>
      <c r="E554" s="2" t="n"/>
      <c r="G554" s="1" t="n"/>
      <c r="H554" s="3" t="n"/>
      <c r="I554" s="3" t="n"/>
      <c r="J554" s="3" t="n"/>
      <c r="AF554" s="1" t="n"/>
    </row>
    <row r="555" ht="14.25" customHeight="1" s="101">
      <c r="A555" s="1" t="n"/>
      <c r="D555" s="2" t="n"/>
      <c r="E555" s="2" t="n"/>
      <c r="G555" s="1" t="n"/>
      <c r="H555" s="3" t="n"/>
      <c r="I555" s="3" t="n"/>
      <c r="J555" s="3" t="n"/>
      <c r="AF555" s="1" t="n"/>
    </row>
    <row r="556" ht="14.25" customHeight="1" s="101">
      <c r="A556" s="1" t="n"/>
      <c r="D556" s="2" t="n"/>
      <c r="E556" s="2" t="n"/>
      <c r="G556" s="1" t="n"/>
      <c r="H556" s="3" t="n"/>
      <c r="I556" s="3" t="n"/>
      <c r="J556" s="3" t="n"/>
      <c r="AF556" s="1" t="n"/>
    </row>
    <row r="557" ht="14.25" customHeight="1" s="101">
      <c r="A557" s="1" t="n"/>
      <c r="D557" s="2" t="n"/>
      <c r="E557" s="2" t="n"/>
      <c r="G557" s="1" t="n"/>
      <c r="H557" s="3" t="n"/>
      <c r="I557" s="3" t="n"/>
      <c r="J557" s="3" t="n"/>
      <c r="AF557" s="1" t="n"/>
    </row>
    <row r="558" ht="14.25" customHeight="1" s="101">
      <c r="A558" s="1" t="n"/>
      <c r="D558" s="2" t="n"/>
      <c r="E558" s="2" t="n"/>
      <c r="G558" s="1" t="n"/>
      <c r="H558" s="3" t="n"/>
      <c r="I558" s="3" t="n"/>
      <c r="J558" s="3" t="n"/>
      <c r="AF558" s="1" t="n"/>
    </row>
    <row r="559" ht="14.25" customHeight="1" s="101">
      <c r="A559" s="1" t="n"/>
      <c r="D559" s="2" t="n"/>
      <c r="E559" s="2" t="n"/>
      <c r="G559" s="1" t="n"/>
      <c r="H559" s="3" t="n"/>
      <c r="I559" s="3" t="n"/>
      <c r="J559" s="3" t="n"/>
      <c r="AF559" s="1" t="n"/>
    </row>
    <row r="560" ht="14.25" customHeight="1" s="101">
      <c r="A560" s="1" t="n"/>
      <c r="D560" s="2" t="n"/>
      <c r="E560" s="2" t="n"/>
      <c r="G560" s="1" t="n"/>
      <c r="H560" s="3" t="n"/>
      <c r="I560" s="3" t="n"/>
      <c r="J560" s="3" t="n"/>
      <c r="AF560" s="1" t="n"/>
    </row>
    <row r="561" ht="14.25" customHeight="1" s="101">
      <c r="A561" s="1" t="n"/>
      <c r="D561" s="2" t="n"/>
      <c r="E561" s="2" t="n"/>
      <c r="G561" s="1" t="n"/>
      <c r="H561" s="3" t="n"/>
      <c r="I561" s="3" t="n"/>
      <c r="J561" s="3" t="n"/>
      <c r="AF561" s="1" t="n"/>
    </row>
    <row r="562" ht="14.25" customHeight="1" s="101">
      <c r="A562" s="1" t="n"/>
      <c r="D562" s="2" t="n"/>
      <c r="E562" s="2" t="n"/>
      <c r="G562" s="1" t="n"/>
      <c r="H562" s="3" t="n"/>
      <c r="I562" s="3" t="n"/>
      <c r="J562" s="3" t="n"/>
      <c r="AF562" s="1" t="n"/>
    </row>
    <row r="563" ht="14.25" customHeight="1" s="101">
      <c r="A563" s="1" t="n"/>
      <c r="D563" s="2" t="n"/>
      <c r="E563" s="2" t="n"/>
      <c r="G563" s="1" t="n"/>
      <c r="H563" s="3" t="n"/>
      <c r="I563" s="3" t="n"/>
      <c r="J563" s="3" t="n"/>
      <c r="AF563" s="1" t="n"/>
    </row>
    <row r="564" ht="14.25" customHeight="1" s="101">
      <c r="A564" s="1" t="n"/>
      <c r="D564" s="2" t="n"/>
      <c r="E564" s="2" t="n"/>
      <c r="G564" s="1" t="n"/>
      <c r="H564" s="3" t="n"/>
      <c r="I564" s="3" t="n"/>
      <c r="J564" s="3" t="n"/>
      <c r="AF564" s="1" t="n"/>
    </row>
    <row r="565" ht="14.25" customHeight="1" s="101">
      <c r="A565" s="1" t="n"/>
      <c r="D565" s="2" t="n"/>
      <c r="E565" s="2" t="n"/>
      <c r="G565" s="1" t="n"/>
      <c r="H565" s="3" t="n"/>
      <c r="I565" s="3" t="n"/>
      <c r="J565" s="3" t="n"/>
      <c r="AF565" s="1" t="n"/>
    </row>
    <row r="566" ht="14.25" customHeight="1" s="101">
      <c r="A566" s="1" t="n"/>
      <c r="D566" s="2" t="n"/>
      <c r="E566" s="2" t="n"/>
      <c r="G566" s="1" t="n"/>
      <c r="H566" s="3" t="n"/>
      <c r="I566" s="3" t="n"/>
      <c r="J566" s="3" t="n"/>
      <c r="AF566" s="1" t="n"/>
    </row>
    <row r="567" ht="14.25" customHeight="1" s="101">
      <c r="A567" s="1" t="n"/>
      <c r="D567" s="2" t="n"/>
      <c r="E567" s="2" t="n"/>
      <c r="G567" s="1" t="n"/>
      <c r="H567" s="3" t="n"/>
      <c r="I567" s="3" t="n"/>
      <c r="J567" s="3" t="n"/>
      <c r="AF567" s="1" t="n"/>
    </row>
    <row r="568" ht="14.25" customHeight="1" s="101">
      <c r="A568" s="1" t="n"/>
      <c r="D568" s="2" t="n"/>
      <c r="E568" s="2" t="n"/>
      <c r="G568" s="1" t="n"/>
      <c r="H568" s="3" t="n"/>
      <c r="I568" s="3" t="n"/>
      <c r="J568" s="3" t="n"/>
      <c r="AF568" s="1" t="n"/>
    </row>
    <row r="569" ht="14.25" customHeight="1" s="101">
      <c r="A569" s="1" t="n"/>
      <c r="D569" s="2" t="n"/>
      <c r="E569" s="2" t="n"/>
      <c r="G569" s="1" t="n"/>
      <c r="H569" s="3" t="n"/>
      <c r="I569" s="3" t="n"/>
      <c r="J569" s="3" t="n"/>
      <c r="AF569" s="1" t="n"/>
    </row>
    <row r="570" ht="14.25" customHeight="1" s="101">
      <c r="A570" s="1" t="n"/>
      <c r="D570" s="2" t="n"/>
      <c r="E570" s="2" t="n"/>
      <c r="G570" s="1" t="n"/>
      <c r="H570" s="3" t="n"/>
      <c r="I570" s="3" t="n"/>
      <c r="J570" s="3" t="n"/>
      <c r="AF570" s="1" t="n"/>
    </row>
    <row r="571" ht="14.25" customHeight="1" s="101">
      <c r="A571" s="1" t="n"/>
      <c r="D571" s="2" t="n"/>
      <c r="E571" s="2" t="n"/>
      <c r="G571" s="1" t="n"/>
      <c r="H571" s="3" t="n"/>
      <c r="I571" s="3" t="n"/>
      <c r="J571" s="3" t="n"/>
      <c r="AF571" s="1" t="n"/>
    </row>
    <row r="572" ht="14.25" customHeight="1" s="101">
      <c r="A572" s="1" t="n"/>
      <c r="D572" s="2" t="n"/>
      <c r="E572" s="2" t="n"/>
      <c r="G572" s="1" t="n"/>
      <c r="H572" s="3" t="n"/>
      <c r="I572" s="3" t="n"/>
      <c r="J572" s="3" t="n"/>
      <c r="AF572" s="1" t="n"/>
    </row>
    <row r="573" ht="14.25" customHeight="1" s="101">
      <c r="A573" s="1" t="n"/>
      <c r="D573" s="2" t="n"/>
      <c r="E573" s="2" t="n"/>
      <c r="G573" s="1" t="n"/>
      <c r="H573" s="3" t="n"/>
      <c r="I573" s="3" t="n"/>
      <c r="J573" s="3" t="n"/>
      <c r="AF573" s="1" t="n"/>
    </row>
    <row r="574" ht="14.25" customHeight="1" s="101">
      <c r="A574" s="1" t="n"/>
      <c r="D574" s="2" t="n"/>
      <c r="E574" s="2" t="n"/>
      <c r="G574" s="1" t="n"/>
      <c r="H574" s="3" t="n"/>
      <c r="I574" s="3" t="n"/>
      <c r="J574" s="3" t="n"/>
      <c r="AF574" s="1" t="n"/>
    </row>
    <row r="575" ht="14.25" customHeight="1" s="101">
      <c r="A575" s="1" t="n"/>
      <c r="D575" s="2" t="n"/>
      <c r="E575" s="2" t="n"/>
      <c r="G575" s="1" t="n"/>
      <c r="H575" s="3" t="n"/>
      <c r="I575" s="3" t="n"/>
      <c r="J575" s="3" t="n"/>
      <c r="AF575" s="1" t="n"/>
    </row>
    <row r="576" ht="14.25" customHeight="1" s="101">
      <c r="A576" s="1" t="n"/>
      <c r="D576" s="2" t="n"/>
      <c r="E576" s="2" t="n"/>
      <c r="G576" s="1" t="n"/>
      <c r="H576" s="3" t="n"/>
      <c r="I576" s="3" t="n"/>
      <c r="J576" s="3" t="n"/>
      <c r="AF576" s="1" t="n"/>
    </row>
    <row r="577" ht="14.25" customHeight="1" s="101">
      <c r="A577" s="1" t="n"/>
      <c r="D577" s="2" t="n"/>
      <c r="E577" s="2" t="n"/>
      <c r="G577" s="1" t="n"/>
      <c r="H577" s="3" t="n"/>
      <c r="I577" s="3" t="n"/>
      <c r="J577" s="3" t="n"/>
      <c r="AF577" s="1" t="n"/>
    </row>
    <row r="578" ht="14.25" customHeight="1" s="101">
      <c r="A578" s="1" t="n"/>
      <c r="D578" s="2" t="n"/>
      <c r="E578" s="2" t="n"/>
      <c r="G578" s="1" t="n"/>
      <c r="H578" s="3" t="n"/>
      <c r="I578" s="3" t="n"/>
      <c r="J578" s="3" t="n"/>
      <c r="AF578" s="1" t="n"/>
    </row>
    <row r="579" ht="14.25" customHeight="1" s="101">
      <c r="A579" s="1" t="n"/>
      <c r="D579" s="2" t="n"/>
      <c r="E579" s="2" t="n"/>
      <c r="G579" s="1" t="n"/>
      <c r="H579" s="3" t="n"/>
      <c r="I579" s="3" t="n"/>
      <c r="J579" s="3" t="n"/>
      <c r="AF579" s="1" t="n"/>
    </row>
    <row r="580" ht="14.25" customHeight="1" s="101">
      <c r="A580" s="1" t="n"/>
      <c r="D580" s="2" t="n"/>
      <c r="E580" s="2" t="n"/>
      <c r="G580" s="1" t="n"/>
      <c r="H580" s="3" t="n"/>
      <c r="I580" s="3" t="n"/>
      <c r="J580" s="3" t="n"/>
      <c r="AF580" s="1" t="n"/>
    </row>
    <row r="581" ht="14.25" customHeight="1" s="101">
      <c r="A581" s="1" t="n"/>
      <c r="D581" s="2" t="n"/>
      <c r="E581" s="2" t="n"/>
      <c r="G581" s="1" t="n"/>
      <c r="H581" s="3" t="n"/>
      <c r="I581" s="3" t="n"/>
      <c r="J581" s="3" t="n"/>
      <c r="AF581" s="1" t="n"/>
    </row>
    <row r="582" ht="14.25" customHeight="1" s="101">
      <c r="A582" s="1" t="n"/>
      <c r="D582" s="2" t="n"/>
      <c r="E582" s="2" t="n"/>
      <c r="G582" s="1" t="n"/>
      <c r="H582" s="3" t="n"/>
      <c r="I582" s="3" t="n"/>
      <c r="J582" s="3" t="n"/>
      <c r="AF582" s="1" t="n"/>
    </row>
    <row r="583" ht="14.25" customHeight="1" s="101">
      <c r="A583" s="1" t="n"/>
      <c r="D583" s="2" t="n"/>
      <c r="E583" s="2" t="n"/>
      <c r="G583" s="1" t="n"/>
      <c r="H583" s="3" t="n"/>
      <c r="I583" s="3" t="n"/>
      <c r="J583" s="3" t="n"/>
      <c r="AF583" s="1" t="n"/>
    </row>
    <row r="584" ht="14.25" customHeight="1" s="101">
      <c r="A584" s="1" t="n"/>
      <c r="D584" s="2" t="n"/>
      <c r="E584" s="2" t="n"/>
      <c r="G584" s="1" t="n"/>
      <c r="H584" s="3" t="n"/>
      <c r="I584" s="3" t="n"/>
      <c r="J584" s="3" t="n"/>
      <c r="AF584" s="1" t="n"/>
    </row>
    <row r="585" ht="14.25" customHeight="1" s="101">
      <c r="A585" s="1" t="n"/>
      <c r="D585" s="2" t="n"/>
      <c r="E585" s="2" t="n"/>
      <c r="G585" s="1" t="n"/>
      <c r="H585" s="3" t="n"/>
      <c r="I585" s="3" t="n"/>
      <c r="J585" s="3" t="n"/>
      <c r="AF585" s="1" t="n"/>
    </row>
    <row r="586" ht="14.25" customHeight="1" s="101">
      <c r="A586" s="1" t="n"/>
      <c r="D586" s="2" t="n"/>
      <c r="E586" s="2" t="n"/>
      <c r="G586" s="1" t="n"/>
      <c r="H586" s="3" t="n"/>
      <c r="I586" s="3" t="n"/>
      <c r="J586" s="3" t="n"/>
      <c r="AF586" s="1" t="n"/>
    </row>
    <row r="587" ht="14.25" customHeight="1" s="101">
      <c r="A587" s="1" t="n"/>
      <c r="D587" s="2" t="n"/>
      <c r="E587" s="2" t="n"/>
      <c r="G587" s="1" t="n"/>
      <c r="H587" s="3" t="n"/>
      <c r="I587" s="3" t="n"/>
      <c r="J587" s="3" t="n"/>
      <c r="AF587" s="1" t="n"/>
    </row>
    <row r="588" ht="14.25" customHeight="1" s="101">
      <c r="A588" s="1" t="n"/>
      <c r="D588" s="2" t="n"/>
      <c r="E588" s="2" t="n"/>
      <c r="G588" s="1" t="n"/>
      <c r="H588" s="3" t="n"/>
      <c r="I588" s="3" t="n"/>
      <c r="J588" s="3" t="n"/>
      <c r="AF588" s="1" t="n"/>
    </row>
    <row r="589" ht="14.25" customHeight="1" s="101">
      <c r="A589" s="1" t="n"/>
      <c r="D589" s="2" t="n"/>
      <c r="E589" s="2" t="n"/>
      <c r="G589" s="1" t="n"/>
      <c r="H589" s="3" t="n"/>
      <c r="I589" s="3" t="n"/>
      <c r="J589" s="3" t="n"/>
      <c r="AF589" s="1" t="n"/>
    </row>
    <row r="590" ht="14.25" customHeight="1" s="101">
      <c r="A590" s="1" t="n"/>
      <c r="D590" s="2" t="n"/>
      <c r="E590" s="2" t="n"/>
      <c r="G590" s="1" t="n"/>
      <c r="H590" s="3" t="n"/>
      <c r="I590" s="3" t="n"/>
      <c r="J590" s="3" t="n"/>
      <c r="AF590" s="1" t="n"/>
    </row>
    <row r="591" ht="14.25" customHeight="1" s="101">
      <c r="A591" s="1" t="n"/>
      <c r="D591" s="2" t="n"/>
      <c r="E591" s="2" t="n"/>
      <c r="G591" s="1" t="n"/>
      <c r="H591" s="3" t="n"/>
      <c r="I591" s="3" t="n"/>
      <c r="J591" s="3" t="n"/>
      <c r="AF591" s="1" t="n"/>
    </row>
    <row r="592" ht="14.25" customHeight="1" s="101">
      <c r="A592" s="1" t="n"/>
      <c r="D592" s="2" t="n"/>
      <c r="E592" s="2" t="n"/>
      <c r="G592" s="1" t="n"/>
      <c r="H592" s="3" t="n"/>
      <c r="I592" s="3" t="n"/>
      <c r="J592" s="3" t="n"/>
      <c r="AF592" s="1" t="n"/>
    </row>
    <row r="593" ht="14.25" customHeight="1" s="101">
      <c r="A593" s="1" t="n"/>
      <c r="D593" s="2" t="n"/>
      <c r="E593" s="2" t="n"/>
      <c r="G593" s="1" t="n"/>
      <c r="H593" s="3" t="n"/>
      <c r="I593" s="3" t="n"/>
      <c r="J593" s="3" t="n"/>
      <c r="AF593" s="1" t="n"/>
    </row>
    <row r="594" ht="14.25" customHeight="1" s="101">
      <c r="A594" s="1" t="n"/>
      <c r="D594" s="2" t="n"/>
      <c r="E594" s="2" t="n"/>
      <c r="G594" s="1" t="n"/>
      <c r="H594" s="3" t="n"/>
      <c r="I594" s="3" t="n"/>
      <c r="J594" s="3" t="n"/>
      <c r="AF594" s="1" t="n"/>
    </row>
    <row r="595" ht="14.25" customHeight="1" s="101">
      <c r="A595" s="1" t="n"/>
      <c r="D595" s="2" t="n"/>
      <c r="E595" s="2" t="n"/>
      <c r="G595" s="1" t="n"/>
      <c r="H595" s="3" t="n"/>
      <c r="I595" s="3" t="n"/>
      <c r="J595" s="3" t="n"/>
      <c r="AF595" s="1" t="n"/>
    </row>
    <row r="596" ht="14.25" customHeight="1" s="101">
      <c r="A596" s="1" t="n"/>
      <c r="D596" s="2" t="n"/>
      <c r="E596" s="2" t="n"/>
      <c r="G596" s="1" t="n"/>
      <c r="H596" s="3" t="n"/>
      <c r="I596" s="3" t="n"/>
      <c r="J596" s="3" t="n"/>
      <c r="AF596" s="1" t="n"/>
    </row>
    <row r="597" ht="14.25" customHeight="1" s="101">
      <c r="A597" s="1" t="n"/>
      <c r="D597" s="2" t="n"/>
      <c r="E597" s="2" t="n"/>
      <c r="G597" s="1" t="n"/>
      <c r="H597" s="3" t="n"/>
      <c r="I597" s="3" t="n"/>
      <c r="J597" s="3" t="n"/>
      <c r="AF597" s="1" t="n"/>
    </row>
    <row r="598" ht="14.25" customHeight="1" s="101">
      <c r="A598" s="1" t="n"/>
      <c r="D598" s="2" t="n"/>
      <c r="E598" s="2" t="n"/>
      <c r="G598" s="1" t="n"/>
      <c r="H598" s="3" t="n"/>
      <c r="I598" s="3" t="n"/>
      <c r="J598" s="3" t="n"/>
      <c r="AF598" s="1" t="n"/>
    </row>
    <row r="599" ht="14.25" customHeight="1" s="101">
      <c r="A599" s="1" t="n"/>
      <c r="D599" s="2" t="n"/>
      <c r="E599" s="2" t="n"/>
      <c r="G599" s="1" t="n"/>
      <c r="H599" s="3" t="n"/>
      <c r="I599" s="3" t="n"/>
      <c r="J599" s="3" t="n"/>
      <c r="AF599" s="1" t="n"/>
    </row>
    <row r="600" ht="14.25" customHeight="1" s="101">
      <c r="A600" s="1" t="n"/>
      <c r="D600" s="2" t="n"/>
      <c r="E600" s="2" t="n"/>
      <c r="G600" s="1" t="n"/>
      <c r="H600" s="3" t="n"/>
      <c r="I600" s="3" t="n"/>
      <c r="J600" s="3" t="n"/>
      <c r="AF600" s="1" t="n"/>
    </row>
    <row r="601" ht="14.25" customHeight="1" s="101">
      <c r="A601" s="1" t="n"/>
      <c r="D601" s="2" t="n"/>
      <c r="E601" s="2" t="n"/>
      <c r="G601" s="1" t="n"/>
      <c r="H601" s="3" t="n"/>
      <c r="I601" s="3" t="n"/>
      <c r="J601" s="3" t="n"/>
      <c r="AF601" s="1" t="n"/>
    </row>
    <row r="602" ht="14.25" customHeight="1" s="101">
      <c r="A602" s="1" t="n"/>
      <c r="D602" s="2" t="n"/>
      <c r="E602" s="2" t="n"/>
      <c r="G602" s="1" t="n"/>
      <c r="H602" s="3" t="n"/>
      <c r="I602" s="3" t="n"/>
      <c r="J602" s="3" t="n"/>
      <c r="AF602" s="1" t="n"/>
    </row>
    <row r="603" ht="14.25" customHeight="1" s="101">
      <c r="A603" s="1" t="n"/>
      <c r="D603" s="2" t="n"/>
      <c r="E603" s="2" t="n"/>
      <c r="G603" s="1" t="n"/>
      <c r="H603" s="3" t="n"/>
      <c r="I603" s="3" t="n"/>
      <c r="J603" s="3" t="n"/>
      <c r="AF603" s="1" t="n"/>
    </row>
    <row r="604" ht="14.25" customHeight="1" s="101">
      <c r="A604" s="1" t="n"/>
      <c r="D604" s="2" t="n"/>
      <c r="E604" s="2" t="n"/>
      <c r="G604" s="1" t="n"/>
      <c r="H604" s="3" t="n"/>
      <c r="I604" s="3" t="n"/>
      <c r="J604" s="3" t="n"/>
      <c r="AF604" s="1" t="n"/>
    </row>
    <row r="605" ht="14.25" customHeight="1" s="101">
      <c r="A605" s="1" t="n"/>
      <c r="D605" s="2" t="n"/>
      <c r="E605" s="2" t="n"/>
      <c r="G605" s="1" t="n"/>
      <c r="H605" s="3" t="n"/>
      <c r="I605" s="3" t="n"/>
      <c r="J605" s="3" t="n"/>
      <c r="AF605" s="1" t="n"/>
    </row>
    <row r="606" ht="14.25" customHeight="1" s="101">
      <c r="A606" s="1" t="n"/>
      <c r="D606" s="2" t="n"/>
      <c r="E606" s="2" t="n"/>
      <c r="G606" s="1" t="n"/>
      <c r="H606" s="3" t="n"/>
      <c r="I606" s="3" t="n"/>
      <c r="J606" s="3" t="n"/>
      <c r="AF606" s="1" t="n"/>
    </row>
    <row r="607" ht="14.25" customHeight="1" s="101">
      <c r="A607" s="1" t="n"/>
      <c r="D607" s="2" t="n"/>
      <c r="E607" s="2" t="n"/>
      <c r="G607" s="1" t="n"/>
      <c r="H607" s="3" t="n"/>
      <c r="I607" s="3" t="n"/>
      <c r="J607" s="3" t="n"/>
      <c r="AF607" s="1" t="n"/>
    </row>
    <row r="608" ht="14.25" customHeight="1" s="101">
      <c r="A608" s="1" t="n"/>
      <c r="D608" s="2" t="n"/>
      <c r="E608" s="2" t="n"/>
      <c r="G608" s="1" t="n"/>
      <c r="H608" s="3" t="n"/>
      <c r="I608" s="3" t="n"/>
      <c r="J608" s="3" t="n"/>
      <c r="AF608" s="1" t="n"/>
    </row>
    <row r="609" ht="14.25" customHeight="1" s="101">
      <c r="A609" s="1" t="n"/>
      <c r="D609" s="2" t="n"/>
      <c r="E609" s="2" t="n"/>
      <c r="G609" s="1" t="n"/>
      <c r="H609" s="3" t="n"/>
      <c r="I609" s="3" t="n"/>
      <c r="J609" s="3" t="n"/>
      <c r="AF609" s="1" t="n"/>
    </row>
    <row r="610" ht="14.25" customHeight="1" s="101">
      <c r="A610" s="1" t="n"/>
      <c r="D610" s="2" t="n"/>
      <c r="E610" s="2" t="n"/>
      <c r="G610" s="1" t="n"/>
      <c r="H610" s="3" t="n"/>
      <c r="I610" s="3" t="n"/>
      <c r="J610" s="3" t="n"/>
      <c r="AF610" s="1" t="n"/>
    </row>
    <row r="611" ht="14.25" customHeight="1" s="101">
      <c r="A611" s="1" t="n"/>
      <c r="D611" s="2" t="n"/>
      <c r="E611" s="2" t="n"/>
      <c r="G611" s="1" t="n"/>
      <c r="H611" s="3" t="n"/>
      <c r="I611" s="3" t="n"/>
      <c r="J611" s="3" t="n"/>
      <c r="AF611" s="1" t="n"/>
    </row>
    <row r="612" ht="14.25" customHeight="1" s="101">
      <c r="A612" s="1" t="n"/>
      <c r="D612" s="2" t="n"/>
      <c r="E612" s="2" t="n"/>
      <c r="G612" s="1" t="n"/>
      <c r="H612" s="3" t="n"/>
      <c r="I612" s="3" t="n"/>
      <c r="J612" s="3" t="n"/>
      <c r="AF612" s="1" t="n"/>
    </row>
    <row r="613" ht="14.25" customHeight="1" s="101">
      <c r="A613" s="1" t="n"/>
      <c r="D613" s="2" t="n"/>
      <c r="E613" s="2" t="n"/>
      <c r="G613" s="1" t="n"/>
      <c r="H613" s="3" t="n"/>
      <c r="I613" s="3" t="n"/>
      <c r="J613" s="3" t="n"/>
      <c r="AF613" s="1" t="n"/>
    </row>
    <row r="614" ht="14.25" customHeight="1" s="101">
      <c r="A614" s="1" t="n"/>
      <c r="D614" s="2" t="n"/>
      <c r="E614" s="2" t="n"/>
      <c r="G614" s="1" t="n"/>
      <c r="H614" s="3" t="n"/>
      <c r="I614" s="3" t="n"/>
      <c r="J614" s="3" t="n"/>
      <c r="AF614" s="1" t="n"/>
    </row>
    <row r="615" ht="14.25" customHeight="1" s="101">
      <c r="A615" s="1" t="n"/>
      <c r="D615" s="2" t="n"/>
      <c r="E615" s="2" t="n"/>
      <c r="G615" s="1" t="n"/>
      <c r="H615" s="3" t="n"/>
      <c r="I615" s="3" t="n"/>
      <c r="J615" s="3" t="n"/>
      <c r="AF615" s="1" t="n"/>
    </row>
    <row r="616" ht="14.25" customHeight="1" s="101">
      <c r="A616" s="1" t="n"/>
      <c r="D616" s="2" t="n"/>
      <c r="E616" s="2" t="n"/>
      <c r="G616" s="1" t="n"/>
      <c r="H616" s="3" t="n"/>
      <c r="I616" s="3" t="n"/>
      <c r="J616" s="3" t="n"/>
      <c r="AF616" s="1" t="n"/>
    </row>
    <row r="617" ht="14.25" customHeight="1" s="101">
      <c r="A617" s="1" t="n"/>
      <c r="D617" s="2" t="n"/>
      <c r="E617" s="2" t="n"/>
      <c r="G617" s="1" t="n"/>
      <c r="H617" s="3" t="n"/>
      <c r="I617" s="3" t="n"/>
      <c r="J617" s="3" t="n"/>
      <c r="AF617" s="1" t="n"/>
    </row>
    <row r="618" ht="14.25" customHeight="1" s="101">
      <c r="A618" s="1" t="n"/>
      <c r="D618" s="2" t="n"/>
      <c r="E618" s="2" t="n"/>
      <c r="G618" s="1" t="n"/>
      <c r="H618" s="3" t="n"/>
      <c r="I618" s="3" t="n"/>
      <c r="J618" s="3" t="n"/>
      <c r="AF618" s="1" t="n"/>
    </row>
    <row r="619" ht="14.25" customHeight="1" s="101">
      <c r="A619" s="1" t="n"/>
      <c r="D619" s="2" t="n"/>
      <c r="E619" s="2" t="n"/>
      <c r="G619" s="1" t="n"/>
      <c r="H619" s="3" t="n"/>
      <c r="I619" s="3" t="n"/>
      <c r="J619" s="3" t="n"/>
      <c r="AF619" s="1" t="n"/>
    </row>
    <row r="620" ht="14.25" customHeight="1" s="101">
      <c r="A620" s="1" t="n"/>
      <c r="D620" s="2" t="n"/>
      <c r="E620" s="2" t="n"/>
      <c r="G620" s="1" t="n"/>
      <c r="H620" s="3" t="n"/>
      <c r="I620" s="3" t="n"/>
      <c r="J620" s="3" t="n"/>
      <c r="AF620" s="1" t="n"/>
    </row>
    <row r="621" ht="14.25" customHeight="1" s="101">
      <c r="A621" s="1" t="n"/>
      <c r="D621" s="2" t="n"/>
      <c r="E621" s="2" t="n"/>
      <c r="G621" s="1" t="n"/>
      <c r="H621" s="3" t="n"/>
      <c r="I621" s="3" t="n"/>
      <c r="J621" s="3" t="n"/>
      <c r="AF621" s="1" t="n"/>
    </row>
    <row r="622" ht="14.25" customHeight="1" s="101">
      <c r="A622" s="1" t="n"/>
      <c r="D622" s="2" t="n"/>
      <c r="E622" s="2" t="n"/>
      <c r="G622" s="1" t="n"/>
      <c r="H622" s="3" t="n"/>
      <c r="I622" s="3" t="n"/>
      <c r="J622" s="3" t="n"/>
      <c r="AF622" s="1" t="n"/>
    </row>
    <row r="623" ht="14.25" customHeight="1" s="101">
      <c r="A623" s="1" t="n"/>
      <c r="D623" s="2" t="n"/>
      <c r="E623" s="2" t="n"/>
      <c r="G623" s="1" t="n"/>
      <c r="H623" s="3" t="n"/>
      <c r="I623" s="3" t="n"/>
      <c r="J623" s="3" t="n"/>
      <c r="AF623" s="1" t="n"/>
    </row>
    <row r="624" ht="14.25" customHeight="1" s="101">
      <c r="A624" s="1" t="n"/>
      <c r="D624" s="2" t="n"/>
      <c r="E624" s="2" t="n"/>
      <c r="G624" s="1" t="n"/>
      <c r="H624" s="3" t="n"/>
      <c r="I624" s="3" t="n"/>
      <c r="J624" s="3" t="n"/>
      <c r="AF624" s="1" t="n"/>
    </row>
    <row r="625" ht="14.25" customHeight="1" s="101">
      <c r="A625" s="1" t="n"/>
      <c r="D625" s="2" t="n"/>
      <c r="E625" s="2" t="n"/>
      <c r="G625" s="1" t="n"/>
      <c r="H625" s="3" t="n"/>
      <c r="I625" s="3" t="n"/>
      <c r="J625" s="3" t="n"/>
      <c r="AF625" s="1" t="n"/>
    </row>
    <row r="626" ht="14.25" customHeight="1" s="101">
      <c r="A626" s="1" t="n"/>
      <c r="D626" s="2" t="n"/>
      <c r="E626" s="2" t="n"/>
      <c r="G626" s="1" t="n"/>
      <c r="H626" s="3" t="n"/>
      <c r="I626" s="3" t="n"/>
      <c r="J626" s="3" t="n"/>
      <c r="AF626" s="1" t="n"/>
    </row>
    <row r="627" ht="14.25" customHeight="1" s="101">
      <c r="A627" s="1" t="n"/>
      <c r="D627" s="2" t="n"/>
      <c r="E627" s="2" t="n"/>
      <c r="G627" s="1" t="n"/>
      <c r="H627" s="3" t="n"/>
      <c r="I627" s="3" t="n"/>
      <c r="J627" s="3" t="n"/>
      <c r="AF627" s="1" t="n"/>
    </row>
    <row r="628" ht="14.25" customHeight="1" s="101">
      <c r="A628" s="1" t="n"/>
      <c r="D628" s="2" t="n"/>
      <c r="E628" s="2" t="n"/>
      <c r="G628" s="1" t="n"/>
      <c r="H628" s="3" t="n"/>
      <c r="I628" s="3" t="n"/>
      <c r="J628" s="3" t="n"/>
      <c r="AF628" s="1" t="n"/>
    </row>
    <row r="629" ht="14.25" customHeight="1" s="101">
      <c r="A629" s="1" t="n"/>
      <c r="D629" s="2" t="n"/>
      <c r="E629" s="2" t="n"/>
      <c r="G629" s="1" t="n"/>
      <c r="H629" s="3" t="n"/>
      <c r="I629" s="3" t="n"/>
      <c r="J629" s="3" t="n"/>
      <c r="AF629" s="1" t="n"/>
    </row>
    <row r="630" ht="14.25" customHeight="1" s="101">
      <c r="A630" s="1" t="n"/>
      <c r="D630" s="2" t="n"/>
      <c r="E630" s="2" t="n"/>
      <c r="G630" s="1" t="n"/>
      <c r="H630" s="3" t="n"/>
      <c r="I630" s="3" t="n"/>
      <c r="J630" s="3" t="n"/>
      <c r="AF630" s="1" t="n"/>
    </row>
    <row r="631" ht="14.25" customHeight="1" s="101">
      <c r="A631" s="1" t="n"/>
      <c r="D631" s="2" t="n"/>
      <c r="E631" s="2" t="n"/>
      <c r="G631" s="1" t="n"/>
      <c r="H631" s="3" t="n"/>
      <c r="I631" s="3" t="n"/>
      <c r="J631" s="3" t="n"/>
      <c r="AF631" s="1" t="n"/>
    </row>
    <row r="632" ht="14.25" customHeight="1" s="101">
      <c r="A632" s="1" t="n"/>
      <c r="D632" s="2" t="n"/>
      <c r="E632" s="2" t="n"/>
      <c r="G632" s="1" t="n"/>
      <c r="H632" s="3" t="n"/>
      <c r="I632" s="3" t="n"/>
      <c r="J632" s="3" t="n"/>
      <c r="AF632" s="1" t="n"/>
    </row>
    <row r="633" ht="14.25" customHeight="1" s="101">
      <c r="A633" s="1" t="n"/>
      <c r="D633" s="2" t="n"/>
      <c r="E633" s="2" t="n"/>
      <c r="G633" s="1" t="n"/>
      <c r="H633" s="3" t="n"/>
      <c r="I633" s="3" t="n"/>
      <c r="J633" s="3" t="n"/>
      <c r="AF633" s="1" t="n"/>
    </row>
    <row r="634" ht="14.25" customHeight="1" s="101">
      <c r="A634" s="1" t="n"/>
      <c r="D634" s="2" t="n"/>
      <c r="E634" s="2" t="n"/>
      <c r="G634" s="1" t="n"/>
      <c r="H634" s="3" t="n"/>
      <c r="I634" s="3" t="n"/>
      <c r="J634" s="3" t="n"/>
      <c r="AF634" s="1" t="n"/>
    </row>
    <row r="635" ht="14.25" customHeight="1" s="101">
      <c r="A635" s="1" t="n"/>
      <c r="D635" s="2" t="n"/>
      <c r="E635" s="2" t="n"/>
      <c r="G635" s="1" t="n"/>
      <c r="H635" s="3" t="n"/>
      <c r="I635" s="3" t="n"/>
      <c r="J635" s="3" t="n"/>
      <c r="AF635" s="1" t="n"/>
    </row>
    <row r="636" ht="14.25" customHeight="1" s="101">
      <c r="A636" s="1" t="n"/>
      <c r="D636" s="2" t="n"/>
      <c r="E636" s="2" t="n"/>
      <c r="G636" s="1" t="n"/>
      <c r="H636" s="3" t="n"/>
      <c r="I636" s="3" t="n"/>
      <c r="J636" s="3" t="n"/>
      <c r="AF636" s="1" t="n"/>
    </row>
    <row r="637" ht="14.25" customHeight="1" s="101">
      <c r="A637" s="1" t="n"/>
      <c r="D637" s="2" t="n"/>
      <c r="E637" s="2" t="n"/>
      <c r="G637" s="1" t="n"/>
      <c r="H637" s="3" t="n"/>
      <c r="I637" s="3" t="n"/>
      <c r="J637" s="3" t="n"/>
      <c r="AF637" s="1" t="n"/>
    </row>
    <row r="638" ht="14.25" customHeight="1" s="101">
      <c r="A638" s="1" t="n"/>
      <c r="D638" s="2" t="n"/>
      <c r="E638" s="2" t="n"/>
      <c r="G638" s="1" t="n"/>
      <c r="H638" s="3" t="n"/>
      <c r="I638" s="3" t="n"/>
      <c r="J638" s="3" t="n"/>
      <c r="AF638" s="1" t="n"/>
    </row>
    <row r="639" ht="14.25" customHeight="1" s="101">
      <c r="A639" s="1" t="n"/>
      <c r="D639" s="2" t="n"/>
      <c r="E639" s="2" t="n"/>
      <c r="G639" s="1" t="n"/>
      <c r="H639" s="3" t="n"/>
      <c r="I639" s="3" t="n"/>
      <c r="J639" s="3" t="n"/>
      <c r="AF639" s="1" t="n"/>
    </row>
    <row r="640" ht="14.25" customHeight="1" s="101">
      <c r="A640" s="1" t="n"/>
      <c r="D640" s="2" t="n"/>
      <c r="E640" s="2" t="n"/>
      <c r="G640" s="1" t="n"/>
      <c r="H640" s="3" t="n"/>
      <c r="I640" s="3" t="n"/>
      <c r="J640" s="3" t="n"/>
      <c r="AF640" s="1" t="n"/>
    </row>
    <row r="641" ht="14.25" customHeight="1" s="101">
      <c r="A641" s="1" t="n"/>
      <c r="D641" s="2" t="n"/>
      <c r="E641" s="2" t="n"/>
      <c r="G641" s="1" t="n"/>
      <c r="H641" s="3" t="n"/>
      <c r="I641" s="3" t="n"/>
      <c r="J641" s="3" t="n"/>
      <c r="AF641" s="1" t="n"/>
    </row>
    <row r="642" ht="14.25" customHeight="1" s="101">
      <c r="A642" s="1" t="n"/>
      <c r="D642" s="2" t="n"/>
      <c r="E642" s="2" t="n"/>
      <c r="G642" s="1" t="n"/>
      <c r="H642" s="3" t="n"/>
      <c r="I642" s="3" t="n"/>
      <c r="J642" s="3" t="n"/>
      <c r="AF642" s="1" t="n"/>
    </row>
    <row r="643" ht="14.25" customHeight="1" s="101">
      <c r="A643" s="1" t="n"/>
      <c r="D643" s="2" t="n"/>
      <c r="E643" s="2" t="n"/>
      <c r="G643" s="1" t="n"/>
      <c r="H643" s="3" t="n"/>
      <c r="I643" s="3" t="n"/>
      <c r="J643" s="3" t="n"/>
      <c r="AF643" s="1" t="n"/>
    </row>
    <row r="644" ht="14.25" customHeight="1" s="101">
      <c r="A644" s="1" t="n"/>
      <c r="D644" s="2" t="n"/>
      <c r="E644" s="2" t="n"/>
      <c r="G644" s="1" t="n"/>
      <c r="H644" s="3" t="n"/>
      <c r="I644" s="3" t="n"/>
      <c r="J644" s="3" t="n"/>
      <c r="AF644" s="1" t="n"/>
    </row>
    <row r="645" ht="14.25" customHeight="1" s="101">
      <c r="A645" s="1" t="n"/>
      <c r="D645" s="2" t="n"/>
      <c r="E645" s="2" t="n"/>
      <c r="G645" s="1" t="n"/>
      <c r="H645" s="3" t="n"/>
      <c r="I645" s="3" t="n"/>
      <c r="J645" s="3" t="n"/>
      <c r="AF645" s="1" t="n"/>
    </row>
    <row r="646" ht="14.25" customHeight="1" s="101">
      <c r="A646" s="1" t="n"/>
      <c r="D646" s="2" t="n"/>
      <c r="E646" s="2" t="n"/>
      <c r="G646" s="1" t="n"/>
      <c r="H646" s="3" t="n"/>
      <c r="I646" s="3" t="n"/>
      <c r="J646" s="3" t="n"/>
      <c r="AF646" s="1" t="n"/>
    </row>
    <row r="647" ht="14.25" customHeight="1" s="101">
      <c r="A647" s="1" t="n"/>
      <c r="D647" s="2" t="n"/>
      <c r="E647" s="2" t="n"/>
      <c r="G647" s="1" t="n"/>
      <c r="H647" s="3" t="n"/>
      <c r="I647" s="3" t="n"/>
      <c r="J647" s="3" t="n"/>
      <c r="AF647" s="1" t="n"/>
    </row>
    <row r="648" ht="14.25" customHeight="1" s="101">
      <c r="A648" s="1" t="n"/>
      <c r="D648" s="2" t="n"/>
      <c r="E648" s="2" t="n"/>
      <c r="G648" s="1" t="n"/>
      <c r="H648" s="3" t="n"/>
      <c r="I648" s="3" t="n"/>
      <c r="J648" s="3" t="n"/>
      <c r="AF648" s="1" t="n"/>
    </row>
    <row r="649" ht="14.25" customHeight="1" s="101">
      <c r="A649" s="1" t="n"/>
      <c r="D649" s="2" t="n"/>
      <c r="E649" s="2" t="n"/>
      <c r="G649" s="1" t="n"/>
      <c r="H649" s="3" t="n"/>
      <c r="I649" s="3" t="n"/>
      <c r="J649" s="3" t="n"/>
      <c r="AF649" s="1" t="n"/>
    </row>
    <row r="650" ht="14.25" customHeight="1" s="101">
      <c r="A650" s="1" t="n"/>
      <c r="D650" s="2" t="n"/>
      <c r="E650" s="2" t="n"/>
      <c r="G650" s="1" t="n"/>
      <c r="H650" s="3" t="n"/>
      <c r="I650" s="3" t="n"/>
      <c r="J650" s="3" t="n"/>
      <c r="AF650" s="1" t="n"/>
    </row>
    <row r="651" ht="14.25" customHeight="1" s="101">
      <c r="A651" s="1" t="n"/>
      <c r="D651" s="2" t="n"/>
      <c r="E651" s="2" t="n"/>
      <c r="G651" s="1" t="n"/>
      <c r="H651" s="3" t="n"/>
      <c r="I651" s="3" t="n"/>
      <c r="J651" s="3" t="n"/>
      <c r="AF651" s="1" t="n"/>
    </row>
    <row r="652" ht="14.25" customHeight="1" s="101">
      <c r="A652" s="1" t="n"/>
      <c r="D652" s="2" t="n"/>
      <c r="E652" s="2" t="n"/>
      <c r="G652" s="1" t="n"/>
      <c r="H652" s="3" t="n"/>
      <c r="I652" s="3" t="n"/>
      <c r="J652" s="3" t="n"/>
      <c r="AF652" s="1" t="n"/>
    </row>
    <row r="653" ht="14.25" customHeight="1" s="101">
      <c r="A653" s="1" t="n"/>
      <c r="D653" s="2" t="n"/>
      <c r="E653" s="2" t="n"/>
      <c r="G653" s="1" t="n"/>
      <c r="H653" s="3" t="n"/>
      <c r="I653" s="3" t="n"/>
      <c r="J653" s="3" t="n"/>
      <c r="AF653" s="1" t="n"/>
    </row>
    <row r="654" ht="14.25" customHeight="1" s="101">
      <c r="A654" s="1" t="n"/>
      <c r="D654" s="2" t="n"/>
      <c r="E654" s="2" t="n"/>
      <c r="G654" s="1" t="n"/>
      <c r="H654" s="3" t="n"/>
      <c r="I654" s="3" t="n"/>
      <c r="J654" s="3" t="n"/>
      <c r="AF654" s="1" t="n"/>
    </row>
    <row r="655" ht="14.25" customHeight="1" s="101">
      <c r="A655" s="1" t="n"/>
      <c r="D655" s="2" t="n"/>
      <c r="E655" s="2" t="n"/>
      <c r="G655" s="1" t="n"/>
      <c r="H655" s="3" t="n"/>
      <c r="I655" s="3" t="n"/>
      <c r="J655" s="3" t="n"/>
      <c r="AF655" s="1" t="n"/>
    </row>
    <row r="656" ht="14.25" customHeight="1" s="101">
      <c r="A656" s="1" t="n"/>
      <c r="D656" s="2" t="n"/>
      <c r="E656" s="2" t="n"/>
      <c r="G656" s="1" t="n"/>
      <c r="H656" s="3" t="n"/>
      <c r="I656" s="3" t="n"/>
      <c r="J656" s="3" t="n"/>
      <c r="AF656" s="1" t="n"/>
    </row>
    <row r="657" ht="14.25" customHeight="1" s="101">
      <c r="A657" s="1" t="n"/>
      <c r="D657" s="2" t="n"/>
      <c r="E657" s="2" t="n"/>
      <c r="G657" s="1" t="n"/>
      <c r="H657" s="3" t="n"/>
      <c r="I657" s="3" t="n"/>
      <c r="J657" s="3" t="n"/>
      <c r="AF657" s="1" t="n"/>
    </row>
    <row r="658" ht="14.25" customHeight="1" s="101">
      <c r="A658" s="1" t="n"/>
      <c r="D658" s="2" t="n"/>
      <c r="E658" s="2" t="n"/>
      <c r="G658" s="1" t="n"/>
      <c r="H658" s="3" t="n"/>
      <c r="I658" s="3" t="n"/>
      <c r="J658" s="3" t="n"/>
      <c r="AF658" s="1" t="n"/>
    </row>
    <row r="659" ht="14.25" customHeight="1" s="101">
      <c r="A659" s="1" t="n"/>
      <c r="D659" s="2" t="n"/>
      <c r="E659" s="2" t="n"/>
      <c r="G659" s="1" t="n"/>
      <c r="H659" s="3" t="n"/>
      <c r="I659" s="3" t="n"/>
      <c r="J659" s="3" t="n"/>
      <c r="AF659" s="1" t="n"/>
    </row>
    <row r="660" ht="14.25" customHeight="1" s="101">
      <c r="A660" s="1" t="n"/>
      <c r="D660" s="2" t="n"/>
      <c r="E660" s="2" t="n"/>
      <c r="G660" s="1" t="n"/>
      <c r="H660" s="3" t="n"/>
      <c r="I660" s="3" t="n"/>
      <c r="J660" s="3" t="n"/>
      <c r="AF660" s="1" t="n"/>
    </row>
    <row r="661" ht="14.25" customHeight="1" s="101">
      <c r="A661" s="1" t="n"/>
      <c r="D661" s="2" t="n"/>
      <c r="E661" s="2" t="n"/>
      <c r="G661" s="1" t="n"/>
      <c r="H661" s="3" t="n"/>
      <c r="I661" s="3" t="n"/>
      <c r="J661" s="3" t="n"/>
      <c r="AF661" s="1" t="n"/>
    </row>
    <row r="662" ht="14.25" customHeight="1" s="101">
      <c r="A662" s="1" t="n"/>
      <c r="D662" s="2" t="n"/>
      <c r="E662" s="2" t="n"/>
      <c r="G662" s="1" t="n"/>
      <c r="H662" s="3" t="n"/>
      <c r="I662" s="3" t="n"/>
      <c r="J662" s="3" t="n"/>
      <c r="AF662" s="1" t="n"/>
    </row>
    <row r="663" ht="14.25" customHeight="1" s="101">
      <c r="A663" s="1" t="n"/>
      <c r="D663" s="2" t="n"/>
      <c r="E663" s="2" t="n"/>
      <c r="G663" s="1" t="n"/>
      <c r="H663" s="3" t="n"/>
      <c r="I663" s="3" t="n"/>
      <c r="J663" s="3" t="n"/>
      <c r="AF663" s="1" t="n"/>
    </row>
    <row r="664" ht="14.25" customHeight="1" s="101">
      <c r="A664" s="1" t="n"/>
      <c r="D664" s="2" t="n"/>
      <c r="E664" s="2" t="n"/>
      <c r="G664" s="1" t="n"/>
      <c r="H664" s="3" t="n"/>
      <c r="I664" s="3" t="n"/>
      <c r="J664" s="3" t="n"/>
      <c r="AF664" s="1" t="n"/>
    </row>
    <row r="665" ht="14.25" customHeight="1" s="101">
      <c r="A665" s="1" t="n"/>
      <c r="D665" s="2" t="n"/>
      <c r="E665" s="2" t="n"/>
      <c r="G665" s="1" t="n"/>
      <c r="H665" s="3" t="n"/>
      <c r="I665" s="3" t="n"/>
      <c r="J665" s="3" t="n"/>
      <c r="AF665" s="1" t="n"/>
    </row>
    <row r="666" ht="14.25" customHeight="1" s="101">
      <c r="A666" s="1" t="n"/>
      <c r="D666" s="2" t="n"/>
      <c r="E666" s="2" t="n"/>
      <c r="G666" s="1" t="n"/>
      <c r="H666" s="3" t="n"/>
      <c r="I666" s="3" t="n"/>
      <c r="J666" s="3" t="n"/>
      <c r="AF666" s="1" t="n"/>
    </row>
    <row r="667" ht="14.25" customHeight="1" s="101">
      <c r="A667" s="1" t="n"/>
      <c r="D667" s="2" t="n"/>
      <c r="E667" s="2" t="n"/>
      <c r="G667" s="1" t="n"/>
      <c r="H667" s="3" t="n"/>
      <c r="I667" s="3" t="n"/>
      <c r="J667" s="3" t="n"/>
      <c r="AF667" s="1" t="n"/>
    </row>
    <row r="668" ht="14.25" customHeight="1" s="101">
      <c r="A668" s="1" t="n"/>
      <c r="D668" s="2" t="n"/>
      <c r="E668" s="2" t="n"/>
      <c r="G668" s="1" t="n"/>
      <c r="H668" s="3" t="n"/>
      <c r="I668" s="3" t="n"/>
      <c r="J668" s="3" t="n"/>
      <c r="AF668" s="1" t="n"/>
    </row>
    <row r="669" ht="14.25" customHeight="1" s="101">
      <c r="A669" s="1" t="n"/>
      <c r="D669" s="2" t="n"/>
      <c r="E669" s="2" t="n"/>
      <c r="G669" s="1" t="n"/>
      <c r="H669" s="3" t="n"/>
      <c r="I669" s="3" t="n"/>
      <c r="J669" s="3" t="n"/>
      <c r="AF669" s="1" t="n"/>
    </row>
    <row r="670" ht="14.25" customHeight="1" s="101">
      <c r="A670" s="1" t="n"/>
      <c r="D670" s="2" t="n"/>
      <c r="E670" s="2" t="n"/>
      <c r="G670" s="1" t="n"/>
      <c r="H670" s="3" t="n"/>
      <c r="I670" s="3" t="n"/>
      <c r="J670" s="3" t="n"/>
      <c r="AF670" s="1" t="n"/>
    </row>
    <row r="671" ht="14.25" customHeight="1" s="101">
      <c r="A671" s="1" t="n"/>
      <c r="D671" s="2" t="n"/>
      <c r="E671" s="2" t="n"/>
      <c r="G671" s="1" t="n"/>
      <c r="H671" s="3" t="n"/>
      <c r="I671" s="3" t="n"/>
      <c r="J671" s="3" t="n"/>
      <c r="AF671" s="1" t="n"/>
    </row>
    <row r="672" ht="14.25" customHeight="1" s="101">
      <c r="A672" s="1" t="n"/>
      <c r="D672" s="2" t="n"/>
      <c r="E672" s="2" t="n"/>
      <c r="G672" s="1" t="n"/>
      <c r="H672" s="3" t="n"/>
      <c r="I672" s="3" t="n"/>
      <c r="J672" s="3" t="n"/>
      <c r="AF672" s="1" t="n"/>
    </row>
    <row r="673" ht="14.25" customHeight="1" s="101">
      <c r="A673" s="1" t="n"/>
      <c r="D673" s="2" t="n"/>
      <c r="E673" s="2" t="n"/>
      <c r="G673" s="1" t="n"/>
      <c r="H673" s="3" t="n"/>
      <c r="I673" s="3" t="n"/>
      <c r="J673" s="3" t="n"/>
      <c r="AF673" s="1" t="n"/>
    </row>
    <row r="674" ht="14.25" customHeight="1" s="101">
      <c r="A674" s="1" t="n"/>
      <c r="D674" s="2" t="n"/>
      <c r="E674" s="2" t="n"/>
      <c r="G674" s="1" t="n"/>
      <c r="H674" s="3" t="n"/>
      <c r="I674" s="3" t="n"/>
      <c r="J674" s="3" t="n"/>
      <c r="AF674" s="1" t="n"/>
    </row>
    <row r="675" ht="14.25" customHeight="1" s="101">
      <c r="A675" s="1" t="n"/>
      <c r="D675" s="2" t="n"/>
      <c r="E675" s="2" t="n"/>
      <c r="G675" s="1" t="n"/>
      <c r="H675" s="3" t="n"/>
      <c r="I675" s="3" t="n"/>
      <c r="J675" s="3" t="n"/>
      <c r="AF675" s="1" t="n"/>
    </row>
    <row r="676" ht="14.25" customHeight="1" s="101">
      <c r="A676" s="1" t="n"/>
      <c r="D676" s="2" t="n"/>
      <c r="E676" s="2" t="n"/>
      <c r="G676" s="1" t="n"/>
      <c r="H676" s="3" t="n"/>
      <c r="I676" s="3" t="n"/>
      <c r="J676" s="3" t="n"/>
      <c r="AF676" s="1" t="n"/>
    </row>
    <row r="677" ht="14.25" customHeight="1" s="101">
      <c r="A677" s="1" t="n"/>
      <c r="D677" s="2" t="n"/>
      <c r="E677" s="2" t="n"/>
      <c r="G677" s="1" t="n"/>
      <c r="H677" s="3" t="n"/>
      <c r="I677" s="3" t="n"/>
      <c r="J677" s="3" t="n"/>
      <c r="AF677" s="1" t="n"/>
    </row>
    <row r="678" ht="14.25" customHeight="1" s="101">
      <c r="A678" s="1" t="n"/>
      <c r="D678" s="2" t="n"/>
      <c r="E678" s="2" t="n"/>
      <c r="G678" s="1" t="n"/>
      <c r="H678" s="3" t="n"/>
      <c r="I678" s="3" t="n"/>
      <c r="J678" s="3" t="n"/>
      <c r="AF678" s="1" t="n"/>
    </row>
    <row r="679" ht="14.25" customHeight="1" s="101">
      <c r="A679" s="1" t="n"/>
      <c r="D679" s="2" t="n"/>
      <c r="E679" s="2" t="n"/>
      <c r="G679" s="1" t="n"/>
      <c r="H679" s="3" t="n"/>
      <c r="I679" s="3" t="n"/>
      <c r="J679" s="3" t="n"/>
      <c r="AF679" s="1" t="n"/>
    </row>
    <row r="680" ht="14.25" customHeight="1" s="101">
      <c r="A680" s="1" t="n"/>
      <c r="D680" s="2" t="n"/>
      <c r="E680" s="2" t="n"/>
      <c r="G680" s="1" t="n"/>
      <c r="H680" s="3" t="n"/>
      <c r="I680" s="3" t="n"/>
      <c r="J680" s="3" t="n"/>
      <c r="AF680" s="1" t="n"/>
    </row>
    <row r="681" ht="14.25" customHeight="1" s="101">
      <c r="A681" s="1" t="n"/>
      <c r="D681" s="2" t="n"/>
      <c r="E681" s="2" t="n"/>
      <c r="G681" s="1" t="n"/>
      <c r="H681" s="3" t="n"/>
      <c r="I681" s="3" t="n"/>
      <c r="J681" s="3" t="n"/>
      <c r="AF681" s="1" t="n"/>
    </row>
    <row r="682" ht="14.25" customHeight="1" s="101">
      <c r="A682" s="1" t="n"/>
      <c r="D682" s="2" t="n"/>
      <c r="E682" s="2" t="n"/>
      <c r="G682" s="1" t="n"/>
      <c r="H682" s="3" t="n"/>
      <c r="I682" s="3" t="n"/>
      <c r="J682" s="3" t="n"/>
      <c r="AF682" s="1" t="n"/>
    </row>
    <row r="683" ht="14.25" customHeight="1" s="101">
      <c r="A683" s="1" t="n"/>
      <c r="D683" s="2" t="n"/>
      <c r="E683" s="2" t="n"/>
      <c r="G683" s="1" t="n"/>
      <c r="H683" s="3" t="n"/>
      <c r="I683" s="3" t="n"/>
      <c r="J683" s="3" t="n"/>
      <c r="AF683" s="1" t="n"/>
    </row>
    <row r="684" ht="14.25" customHeight="1" s="101">
      <c r="A684" s="1" t="n"/>
      <c r="D684" s="2" t="n"/>
      <c r="E684" s="2" t="n"/>
      <c r="G684" s="1" t="n"/>
      <c r="H684" s="3" t="n"/>
      <c r="I684" s="3" t="n"/>
      <c r="J684" s="3" t="n"/>
      <c r="AF684" s="1" t="n"/>
    </row>
    <row r="685" ht="14.25" customHeight="1" s="101">
      <c r="A685" s="1" t="n"/>
      <c r="D685" s="2" t="n"/>
      <c r="E685" s="2" t="n"/>
      <c r="G685" s="1" t="n"/>
      <c r="H685" s="3" t="n"/>
      <c r="I685" s="3" t="n"/>
      <c r="J685" s="3" t="n"/>
      <c r="AF685" s="1" t="n"/>
    </row>
    <row r="686" ht="14.25" customHeight="1" s="101">
      <c r="A686" s="1" t="n"/>
      <c r="D686" s="2" t="n"/>
      <c r="E686" s="2" t="n"/>
      <c r="G686" s="1" t="n"/>
      <c r="H686" s="3" t="n"/>
      <c r="I686" s="3" t="n"/>
      <c r="J686" s="3" t="n"/>
      <c r="AF686" s="1" t="n"/>
    </row>
    <row r="687" ht="14.25" customHeight="1" s="101">
      <c r="A687" s="1" t="n"/>
      <c r="D687" s="2" t="n"/>
      <c r="E687" s="2" t="n"/>
      <c r="G687" s="1" t="n"/>
      <c r="H687" s="3" t="n"/>
      <c r="I687" s="3" t="n"/>
      <c r="J687" s="3" t="n"/>
      <c r="AF687" s="1" t="n"/>
    </row>
    <row r="688" ht="14.25" customHeight="1" s="101">
      <c r="A688" s="1" t="n"/>
      <c r="D688" s="2" t="n"/>
      <c r="E688" s="2" t="n"/>
      <c r="G688" s="1" t="n"/>
      <c r="H688" s="3" t="n"/>
      <c r="I688" s="3" t="n"/>
      <c r="J688" s="3" t="n"/>
      <c r="AF688" s="1" t="n"/>
    </row>
    <row r="689" ht="14.25" customHeight="1" s="101">
      <c r="A689" s="1" t="n"/>
      <c r="D689" s="2" t="n"/>
      <c r="E689" s="2" t="n"/>
      <c r="G689" s="1" t="n"/>
      <c r="H689" s="3" t="n"/>
      <c r="I689" s="3" t="n"/>
      <c r="J689" s="3" t="n"/>
      <c r="AF689" s="1" t="n"/>
    </row>
    <row r="690" ht="14.25" customHeight="1" s="101">
      <c r="A690" s="1" t="n"/>
      <c r="D690" s="2" t="n"/>
      <c r="E690" s="2" t="n"/>
      <c r="G690" s="1" t="n"/>
      <c r="H690" s="3" t="n"/>
      <c r="I690" s="3" t="n"/>
      <c r="J690" s="3" t="n"/>
      <c r="AF690" s="1" t="n"/>
    </row>
    <row r="691" ht="14.25" customHeight="1" s="101">
      <c r="A691" s="1" t="n"/>
      <c r="D691" s="2" t="n"/>
      <c r="E691" s="2" t="n"/>
      <c r="G691" s="1" t="n"/>
      <c r="H691" s="3" t="n"/>
      <c r="I691" s="3" t="n"/>
      <c r="J691" s="3" t="n"/>
      <c r="AF691" s="1" t="n"/>
    </row>
    <row r="692" ht="14.25" customHeight="1" s="101">
      <c r="A692" s="1" t="n"/>
      <c r="D692" s="2" t="n"/>
      <c r="E692" s="2" t="n"/>
      <c r="G692" s="1" t="n"/>
      <c r="H692" s="3" t="n"/>
      <c r="I692" s="3" t="n"/>
      <c r="J692" s="3" t="n"/>
      <c r="AF692" s="1" t="n"/>
    </row>
    <row r="693" ht="14.25" customHeight="1" s="101">
      <c r="A693" s="1" t="n"/>
      <c r="D693" s="2" t="n"/>
      <c r="E693" s="2" t="n"/>
      <c r="G693" s="1" t="n"/>
      <c r="H693" s="3" t="n"/>
      <c r="I693" s="3" t="n"/>
      <c r="J693" s="3" t="n"/>
      <c r="AF693" s="1" t="n"/>
    </row>
    <row r="694" ht="14.25" customHeight="1" s="101">
      <c r="A694" s="1" t="n"/>
      <c r="D694" s="2" t="n"/>
      <c r="E694" s="2" t="n"/>
      <c r="G694" s="1" t="n"/>
      <c r="H694" s="3" t="n"/>
      <c r="I694" s="3" t="n"/>
      <c r="J694" s="3" t="n"/>
      <c r="AF694" s="1" t="n"/>
    </row>
    <row r="695" ht="14.25" customHeight="1" s="101">
      <c r="A695" s="1" t="n"/>
      <c r="D695" s="2" t="n"/>
      <c r="E695" s="2" t="n"/>
      <c r="G695" s="1" t="n"/>
      <c r="H695" s="3" t="n"/>
      <c r="I695" s="3" t="n"/>
      <c r="J695" s="3" t="n"/>
      <c r="AF695" s="1" t="n"/>
    </row>
    <row r="696" ht="14.25" customHeight="1" s="101">
      <c r="A696" s="1" t="n"/>
      <c r="D696" s="2" t="n"/>
      <c r="E696" s="2" t="n"/>
      <c r="G696" s="1" t="n"/>
      <c r="H696" s="3" t="n"/>
      <c r="I696" s="3" t="n"/>
      <c r="J696" s="3" t="n"/>
      <c r="AF696" s="1" t="n"/>
    </row>
    <row r="697" ht="14.25" customHeight="1" s="101">
      <c r="A697" s="1" t="n"/>
      <c r="D697" s="2" t="n"/>
      <c r="E697" s="2" t="n"/>
      <c r="G697" s="1" t="n"/>
      <c r="H697" s="3" t="n"/>
      <c r="I697" s="3" t="n"/>
      <c r="J697" s="3" t="n"/>
      <c r="AF697" s="1" t="n"/>
    </row>
    <row r="698" ht="14.25" customHeight="1" s="101">
      <c r="A698" s="1" t="n"/>
      <c r="D698" s="2" t="n"/>
      <c r="E698" s="2" t="n"/>
      <c r="G698" s="1" t="n"/>
      <c r="H698" s="3" t="n"/>
      <c r="I698" s="3" t="n"/>
      <c r="J698" s="3" t="n"/>
      <c r="AF698" s="1" t="n"/>
    </row>
    <row r="699" ht="14.25" customHeight="1" s="101">
      <c r="A699" s="1" t="n"/>
      <c r="D699" s="2" t="n"/>
      <c r="E699" s="2" t="n"/>
      <c r="G699" s="1" t="n"/>
      <c r="H699" s="3" t="n"/>
      <c r="I699" s="3" t="n"/>
      <c r="J699" s="3" t="n"/>
      <c r="AF699" s="1" t="n"/>
    </row>
    <row r="700" ht="14.25" customHeight="1" s="101">
      <c r="A700" s="1" t="n"/>
      <c r="D700" s="2" t="n"/>
      <c r="E700" s="2" t="n"/>
      <c r="G700" s="1" t="n"/>
      <c r="H700" s="3" t="n"/>
      <c r="I700" s="3" t="n"/>
      <c r="J700" s="3" t="n"/>
      <c r="AF700" s="1" t="n"/>
    </row>
    <row r="701" ht="14.25" customHeight="1" s="101">
      <c r="A701" s="1" t="n"/>
      <c r="D701" s="2" t="n"/>
      <c r="E701" s="2" t="n"/>
      <c r="G701" s="1" t="n"/>
      <c r="H701" s="3" t="n"/>
      <c r="I701" s="3" t="n"/>
      <c r="J701" s="3" t="n"/>
      <c r="AF701" s="1" t="n"/>
    </row>
    <row r="702" ht="14.25" customHeight="1" s="101">
      <c r="A702" s="1" t="n"/>
      <c r="D702" s="2" t="n"/>
      <c r="E702" s="2" t="n"/>
      <c r="G702" s="1" t="n"/>
      <c r="H702" s="3" t="n"/>
      <c r="I702" s="3" t="n"/>
      <c r="J702" s="3" t="n"/>
      <c r="AF702" s="1" t="n"/>
    </row>
    <row r="703" ht="14.25" customHeight="1" s="101">
      <c r="A703" s="1" t="n"/>
      <c r="D703" s="2" t="n"/>
      <c r="E703" s="2" t="n"/>
      <c r="G703" s="1" t="n"/>
      <c r="H703" s="3" t="n"/>
      <c r="I703" s="3" t="n"/>
      <c r="J703" s="3" t="n"/>
      <c r="AF703" s="1" t="n"/>
    </row>
    <row r="704" ht="14.25" customHeight="1" s="101">
      <c r="A704" s="1" t="n"/>
      <c r="D704" s="2" t="n"/>
      <c r="E704" s="2" t="n"/>
      <c r="G704" s="1" t="n"/>
      <c r="H704" s="3" t="n"/>
      <c r="I704" s="3" t="n"/>
      <c r="J704" s="3" t="n"/>
      <c r="AF704" s="1" t="n"/>
    </row>
    <row r="705" ht="14.25" customHeight="1" s="101">
      <c r="A705" s="1" t="n"/>
      <c r="D705" s="2" t="n"/>
      <c r="E705" s="2" t="n"/>
      <c r="G705" s="1" t="n"/>
      <c r="H705" s="3" t="n"/>
      <c r="I705" s="3" t="n"/>
      <c r="J705" s="3" t="n"/>
      <c r="AF705" s="1" t="n"/>
    </row>
    <row r="706" ht="14.25" customHeight="1" s="101">
      <c r="A706" s="1" t="n"/>
      <c r="D706" s="2" t="n"/>
      <c r="E706" s="2" t="n"/>
      <c r="G706" s="1" t="n"/>
      <c r="H706" s="3" t="n"/>
      <c r="I706" s="3" t="n"/>
      <c r="J706" s="3" t="n"/>
      <c r="AF706" s="1" t="n"/>
    </row>
    <row r="707" ht="14.25" customHeight="1" s="101">
      <c r="A707" s="1" t="n"/>
      <c r="D707" s="2" t="n"/>
      <c r="E707" s="2" t="n"/>
      <c r="G707" s="1" t="n"/>
      <c r="H707" s="3" t="n"/>
      <c r="I707" s="3" t="n"/>
      <c r="J707" s="3" t="n"/>
      <c r="AF707" s="1" t="n"/>
    </row>
    <row r="708" ht="14.25" customHeight="1" s="101">
      <c r="A708" s="1" t="n"/>
      <c r="D708" s="2" t="n"/>
      <c r="E708" s="2" t="n"/>
      <c r="G708" s="1" t="n"/>
      <c r="H708" s="3" t="n"/>
      <c r="I708" s="3" t="n"/>
      <c r="J708" s="3" t="n"/>
      <c r="AF708" s="1" t="n"/>
    </row>
    <row r="709" ht="14.25" customHeight="1" s="101">
      <c r="A709" s="1" t="n"/>
      <c r="D709" s="2" t="n"/>
      <c r="E709" s="2" t="n"/>
      <c r="G709" s="1" t="n"/>
      <c r="H709" s="3" t="n"/>
      <c r="I709" s="3" t="n"/>
      <c r="J709" s="3" t="n"/>
      <c r="AF709" s="1" t="n"/>
    </row>
    <row r="710" ht="14.25" customHeight="1" s="101">
      <c r="A710" s="1" t="n"/>
      <c r="D710" s="2" t="n"/>
      <c r="E710" s="2" t="n"/>
      <c r="G710" s="1" t="n"/>
      <c r="H710" s="3" t="n"/>
      <c r="I710" s="3" t="n"/>
      <c r="J710" s="3" t="n"/>
      <c r="AF710" s="1" t="n"/>
    </row>
    <row r="711" ht="14.25" customHeight="1" s="101">
      <c r="A711" s="1" t="n"/>
      <c r="D711" s="2" t="n"/>
      <c r="E711" s="2" t="n"/>
      <c r="G711" s="1" t="n"/>
      <c r="H711" s="3" t="n"/>
      <c r="I711" s="3" t="n"/>
      <c r="J711" s="3" t="n"/>
      <c r="AF711" s="1" t="n"/>
    </row>
    <row r="712" ht="14.25" customHeight="1" s="101">
      <c r="A712" s="1" t="n"/>
      <c r="D712" s="2" t="n"/>
      <c r="E712" s="2" t="n"/>
      <c r="G712" s="1" t="n"/>
      <c r="H712" s="3" t="n"/>
      <c r="I712" s="3" t="n"/>
      <c r="J712" s="3" t="n"/>
      <c r="AF712" s="1" t="n"/>
    </row>
    <row r="713" ht="14.25" customHeight="1" s="101">
      <c r="A713" s="1" t="n"/>
      <c r="D713" s="2" t="n"/>
      <c r="E713" s="2" t="n"/>
      <c r="G713" s="1" t="n"/>
      <c r="H713" s="3" t="n"/>
      <c r="I713" s="3" t="n"/>
      <c r="J713" s="3" t="n"/>
      <c r="AF713" s="1" t="n"/>
    </row>
    <row r="714" ht="14.25" customHeight="1" s="101">
      <c r="A714" s="1" t="n"/>
      <c r="D714" s="2" t="n"/>
      <c r="E714" s="2" t="n"/>
      <c r="G714" s="1" t="n"/>
      <c r="H714" s="3" t="n"/>
      <c r="I714" s="3" t="n"/>
      <c r="J714" s="3" t="n"/>
      <c r="AF714" s="1" t="n"/>
    </row>
    <row r="715" ht="14.25" customHeight="1" s="101">
      <c r="A715" s="1" t="n"/>
      <c r="D715" s="2" t="n"/>
      <c r="E715" s="2" t="n"/>
      <c r="G715" s="1" t="n"/>
      <c r="H715" s="3" t="n"/>
      <c r="I715" s="3" t="n"/>
      <c r="J715" s="3" t="n"/>
      <c r="AF715" s="1" t="n"/>
    </row>
    <row r="716" ht="14.25" customHeight="1" s="101">
      <c r="A716" s="1" t="n"/>
      <c r="D716" s="2" t="n"/>
      <c r="E716" s="2" t="n"/>
      <c r="G716" s="1" t="n"/>
      <c r="H716" s="3" t="n"/>
      <c r="I716" s="3" t="n"/>
      <c r="J716" s="3" t="n"/>
      <c r="AF716" s="1" t="n"/>
    </row>
    <row r="717" ht="14.25" customHeight="1" s="101">
      <c r="A717" s="1" t="n"/>
      <c r="D717" s="2" t="n"/>
      <c r="E717" s="2" t="n"/>
      <c r="G717" s="1" t="n"/>
      <c r="H717" s="3" t="n"/>
      <c r="I717" s="3" t="n"/>
      <c r="J717" s="3" t="n"/>
      <c r="AF717" s="1" t="n"/>
    </row>
    <row r="718" ht="14.25" customHeight="1" s="101">
      <c r="A718" s="1" t="n"/>
      <c r="D718" s="2" t="n"/>
      <c r="E718" s="2" t="n"/>
      <c r="G718" s="1" t="n"/>
      <c r="H718" s="3" t="n"/>
      <c r="I718" s="3" t="n"/>
      <c r="J718" s="3" t="n"/>
      <c r="AF718" s="1" t="n"/>
    </row>
    <row r="719" ht="14.25" customHeight="1" s="101">
      <c r="A719" s="1" t="n"/>
      <c r="D719" s="2" t="n"/>
      <c r="E719" s="2" t="n"/>
      <c r="G719" s="1" t="n"/>
      <c r="H719" s="3" t="n"/>
      <c r="I719" s="3" t="n"/>
      <c r="J719" s="3" t="n"/>
      <c r="AF719" s="1" t="n"/>
    </row>
    <row r="720" ht="14.25" customHeight="1" s="101">
      <c r="A720" s="1" t="n"/>
      <c r="D720" s="2" t="n"/>
      <c r="E720" s="2" t="n"/>
      <c r="G720" s="1" t="n"/>
      <c r="H720" s="3" t="n"/>
      <c r="I720" s="3" t="n"/>
      <c r="J720" s="3" t="n"/>
      <c r="AF720" s="1" t="n"/>
    </row>
    <row r="721" ht="14.25" customHeight="1" s="101">
      <c r="A721" s="1" t="n"/>
      <c r="D721" s="2" t="n"/>
      <c r="E721" s="2" t="n"/>
      <c r="G721" s="1" t="n"/>
      <c r="H721" s="3" t="n"/>
      <c r="I721" s="3" t="n"/>
      <c r="J721" s="3" t="n"/>
      <c r="AF721" s="1" t="n"/>
    </row>
    <row r="722" ht="14.25" customHeight="1" s="101">
      <c r="A722" s="1" t="n"/>
      <c r="D722" s="2" t="n"/>
      <c r="E722" s="2" t="n"/>
      <c r="G722" s="1" t="n"/>
      <c r="H722" s="3" t="n"/>
      <c r="I722" s="3" t="n"/>
      <c r="J722" s="3" t="n"/>
      <c r="AF722" s="1" t="n"/>
    </row>
    <row r="723" ht="14.25" customHeight="1" s="101">
      <c r="A723" s="1" t="n"/>
      <c r="D723" s="2" t="n"/>
      <c r="E723" s="2" t="n"/>
      <c r="G723" s="1" t="n"/>
      <c r="H723" s="3" t="n"/>
      <c r="I723" s="3" t="n"/>
      <c r="J723" s="3" t="n"/>
      <c r="AF723" s="1" t="n"/>
    </row>
    <row r="724" ht="14.25" customHeight="1" s="101">
      <c r="A724" s="1" t="n"/>
      <c r="D724" s="2" t="n"/>
      <c r="E724" s="2" t="n"/>
      <c r="G724" s="1" t="n"/>
      <c r="H724" s="3" t="n"/>
      <c r="I724" s="3" t="n"/>
      <c r="J724" s="3" t="n"/>
      <c r="AF724" s="1" t="n"/>
    </row>
    <row r="725" ht="14.25" customHeight="1" s="101">
      <c r="A725" s="1" t="n"/>
      <c r="D725" s="2" t="n"/>
      <c r="E725" s="2" t="n"/>
      <c r="G725" s="1" t="n"/>
      <c r="H725" s="3" t="n"/>
      <c r="I725" s="3" t="n"/>
      <c r="J725" s="3" t="n"/>
      <c r="AF725" s="1" t="n"/>
    </row>
    <row r="726" ht="14.25" customHeight="1" s="101">
      <c r="A726" s="1" t="n"/>
      <c r="D726" s="2" t="n"/>
      <c r="E726" s="2" t="n"/>
      <c r="G726" s="1" t="n"/>
      <c r="H726" s="3" t="n"/>
      <c r="I726" s="3" t="n"/>
      <c r="J726" s="3" t="n"/>
      <c r="AF726" s="1" t="n"/>
    </row>
    <row r="727" ht="14.25" customHeight="1" s="101">
      <c r="A727" s="1" t="n"/>
      <c r="D727" s="2" t="n"/>
      <c r="E727" s="2" t="n"/>
      <c r="G727" s="1" t="n"/>
      <c r="H727" s="3" t="n"/>
      <c r="I727" s="3" t="n"/>
      <c r="J727" s="3" t="n"/>
      <c r="AF727" s="1" t="n"/>
    </row>
    <row r="728" ht="14.25" customHeight="1" s="101">
      <c r="A728" s="1" t="n"/>
      <c r="D728" s="2" t="n"/>
      <c r="E728" s="2" t="n"/>
      <c r="G728" s="1" t="n"/>
      <c r="H728" s="3" t="n"/>
      <c r="I728" s="3" t="n"/>
      <c r="J728" s="3" t="n"/>
      <c r="AF728" s="1" t="n"/>
    </row>
    <row r="729" ht="14.25" customHeight="1" s="101">
      <c r="A729" s="1" t="n"/>
      <c r="D729" s="2" t="n"/>
      <c r="E729" s="2" t="n"/>
      <c r="G729" s="1" t="n"/>
      <c r="H729" s="3" t="n"/>
      <c r="I729" s="3" t="n"/>
      <c r="J729" s="3" t="n"/>
      <c r="AF729" s="1" t="n"/>
    </row>
    <row r="730" ht="14.25" customHeight="1" s="101">
      <c r="A730" s="1" t="n"/>
      <c r="D730" s="2" t="n"/>
      <c r="E730" s="2" t="n"/>
      <c r="G730" s="1" t="n"/>
      <c r="H730" s="3" t="n"/>
      <c r="I730" s="3" t="n"/>
      <c r="J730" s="3" t="n"/>
      <c r="AF730" s="1" t="n"/>
    </row>
    <row r="731" ht="14.25" customHeight="1" s="101">
      <c r="A731" s="1" t="n"/>
      <c r="D731" s="2" t="n"/>
      <c r="E731" s="2" t="n"/>
      <c r="G731" s="1" t="n"/>
      <c r="H731" s="3" t="n"/>
      <c r="I731" s="3" t="n"/>
      <c r="J731" s="3" t="n"/>
      <c r="AF731" s="1" t="n"/>
    </row>
    <row r="732" ht="14.25" customHeight="1" s="101">
      <c r="A732" s="1" t="n"/>
      <c r="D732" s="2" t="n"/>
      <c r="E732" s="2" t="n"/>
      <c r="G732" s="1" t="n"/>
      <c r="H732" s="3" t="n"/>
      <c r="I732" s="3" t="n"/>
      <c r="J732" s="3" t="n"/>
      <c r="AF732" s="1" t="n"/>
    </row>
    <row r="733" ht="14.25" customHeight="1" s="101">
      <c r="A733" s="1" t="n"/>
      <c r="D733" s="2" t="n"/>
      <c r="E733" s="2" t="n"/>
      <c r="G733" s="1" t="n"/>
      <c r="H733" s="3" t="n"/>
      <c r="I733" s="3" t="n"/>
      <c r="J733" s="3" t="n"/>
      <c r="AF733" s="1" t="n"/>
    </row>
    <row r="734" ht="14.25" customHeight="1" s="101">
      <c r="A734" s="1" t="n"/>
      <c r="D734" s="2" t="n"/>
      <c r="E734" s="2" t="n"/>
      <c r="G734" s="1" t="n"/>
      <c r="H734" s="3" t="n"/>
      <c r="I734" s="3" t="n"/>
      <c r="J734" s="3" t="n"/>
      <c r="AF734" s="1" t="n"/>
    </row>
    <row r="735" ht="14.25" customHeight="1" s="101">
      <c r="A735" s="1" t="n"/>
      <c r="D735" s="2" t="n"/>
      <c r="E735" s="2" t="n"/>
      <c r="G735" s="1" t="n"/>
      <c r="H735" s="3" t="n"/>
      <c r="I735" s="3" t="n"/>
      <c r="J735" s="3" t="n"/>
      <c r="AF735" s="1" t="n"/>
    </row>
    <row r="736" ht="14.25" customHeight="1" s="101">
      <c r="A736" s="1" t="n"/>
      <c r="D736" s="2" t="n"/>
      <c r="E736" s="2" t="n"/>
      <c r="G736" s="1" t="n"/>
      <c r="H736" s="3" t="n"/>
      <c r="I736" s="3" t="n"/>
      <c r="J736" s="3" t="n"/>
      <c r="AF736" s="1" t="n"/>
    </row>
    <row r="737" ht="14.25" customHeight="1" s="101">
      <c r="A737" s="1" t="n"/>
      <c r="D737" s="2" t="n"/>
      <c r="E737" s="2" t="n"/>
      <c r="G737" s="1" t="n"/>
      <c r="H737" s="3" t="n"/>
      <c r="I737" s="3" t="n"/>
      <c r="J737" s="3" t="n"/>
      <c r="AF737" s="1" t="n"/>
    </row>
    <row r="738" ht="14.25" customHeight="1" s="101">
      <c r="A738" s="1" t="n"/>
      <c r="D738" s="2" t="n"/>
      <c r="E738" s="2" t="n"/>
      <c r="G738" s="1" t="n"/>
      <c r="H738" s="3" t="n"/>
      <c r="I738" s="3" t="n"/>
      <c r="J738" s="3" t="n"/>
      <c r="AF738" s="1" t="n"/>
    </row>
    <row r="739" ht="14.25" customHeight="1" s="101">
      <c r="A739" s="1" t="n"/>
      <c r="D739" s="2" t="n"/>
      <c r="E739" s="2" t="n"/>
      <c r="G739" s="1" t="n"/>
      <c r="H739" s="3" t="n"/>
      <c r="I739" s="3" t="n"/>
      <c r="J739" s="3" t="n"/>
      <c r="AF739" s="1" t="n"/>
    </row>
    <row r="740" ht="14.25" customHeight="1" s="101">
      <c r="A740" s="1" t="n"/>
      <c r="D740" s="2" t="n"/>
      <c r="E740" s="2" t="n"/>
      <c r="G740" s="1" t="n"/>
      <c r="H740" s="3" t="n"/>
      <c r="I740" s="3" t="n"/>
      <c r="J740" s="3" t="n"/>
      <c r="AF740" s="1" t="n"/>
    </row>
    <row r="741" ht="14.25" customHeight="1" s="101">
      <c r="A741" s="1" t="n"/>
      <c r="D741" s="2" t="n"/>
      <c r="E741" s="2" t="n"/>
      <c r="G741" s="1" t="n"/>
      <c r="H741" s="3" t="n"/>
      <c r="I741" s="3" t="n"/>
      <c r="J741" s="3" t="n"/>
      <c r="AF741" s="1" t="n"/>
    </row>
    <row r="742" ht="14.25" customHeight="1" s="101">
      <c r="A742" s="1" t="n"/>
      <c r="D742" s="2" t="n"/>
      <c r="E742" s="2" t="n"/>
      <c r="G742" s="1" t="n"/>
      <c r="H742" s="3" t="n"/>
      <c r="I742" s="3" t="n"/>
      <c r="J742" s="3" t="n"/>
      <c r="AF742" s="1" t="n"/>
    </row>
    <row r="743" ht="14.25" customHeight="1" s="101">
      <c r="A743" s="1" t="n"/>
      <c r="D743" s="2" t="n"/>
      <c r="E743" s="2" t="n"/>
      <c r="G743" s="1" t="n"/>
      <c r="H743" s="3" t="n"/>
      <c r="I743" s="3" t="n"/>
      <c r="J743" s="3" t="n"/>
      <c r="AF743" s="1" t="n"/>
    </row>
    <row r="744" ht="14.25" customHeight="1" s="101">
      <c r="A744" s="1" t="n"/>
      <c r="D744" s="2" t="n"/>
      <c r="E744" s="2" t="n"/>
      <c r="G744" s="1" t="n"/>
      <c r="H744" s="3" t="n"/>
      <c r="I744" s="3" t="n"/>
      <c r="J744" s="3" t="n"/>
      <c r="AF744" s="1" t="n"/>
    </row>
    <row r="745" ht="14.25" customHeight="1" s="101">
      <c r="A745" s="1" t="n"/>
      <c r="D745" s="2" t="n"/>
      <c r="E745" s="2" t="n"/>
      <c r="G745" s="1" t="n"/>
      <c r="H745" s="3" t="n"/>
      <c r="I745" s="3" t="n"/>
      <c r="J745" s="3" t="n"/>
      <c r="AF745" s="1" t="n"/>
    </row>
    <row r="746" ht="14.25" customHeight="1" s="101">
      <c r="A746" s="1" t="n"/>
      <c r="D746" s="2" t="n"/>
      <c r="E746" s="2" t="n"/>
      <c r="G746" s="1" t="n"/>
      <c r="H746" s="3" t="n"/>
      <c r="I746" s="3" t="n"/>
      <c r="J746" s="3" t="n"/>
      <c r="AF746" s="1" t="n"/>
    </row>
    <row r="747" ht="14.25" customHeight="1" s="101">
      <c r="A747" s="1" t="n"/>
      <c r="D747" s="2" t="n"/>
      <c r="E747" s="2" t="n"/>
      <c r="G747" s="1" t="n"/>
      <c r="H747" s="3" t="n"/>
      <c r="I747" s="3" t="n"/>
      <c r="J747" s="3" t="n"/>
      <c r="AF747" s="1" t="n"/>
    </row>
    <row r="748" ht="14.25" customHeight="1" s="101">
      <c r="A748" s="1" t="n"/>
      <c r="D748" s="2" t="n"/>
      <c r="E748" s="2" t="n"/>
      <c r="G748" s="1" t="n"/>
      <c r="H748" s="3" t="n"/>
      <c r="I748" s="3" t="n"/>
      <c r="J748" s="3" t="n"/>
      <c r="AF748" s="1" t="n"/>
    </row>
    <row r="749" ht="14.25" customHeight="1" s="101">
      <c r="A749" s="1" t="n"/>
      <c r="D749" s="2" t="n"/>
      <c r="E749" s="2" t="n"/>
      <c r="G749" s="1" t="n"/>
      <c r="H749" s="3" t="n"/>
      <c r="I749" s="3" t="n"/>
      <c r="J749" s="3" t="n"/>
      <c r="AF749" s="1" t="n"/>
    </row>
    <row r="750" ht="14.25" customHeight="1" s="101">
      <c r="A750" s="1" t="n"/>
      <c r="D750" s="2" t="n"/>
      <c r="E750" s="2" t="n"/>
      <c r="G750" s="1" t="n"/>
      <c r="H750" s="3" t="n"/>
      <c r="I750" s="3" t="n"/>
      <c r="J750" s="3" t="n"/>
      <c r="AF750" s="1" t="n"/>
    </row>
    <row r="751" ht="14.25" customHeight="1" s="101">
      <c r="A751" s="1" t="n"/>
      <c r="D751" s="2" t="n"/>
      <c r="E751" s="2" t="n"/>
      <c r="G751" s="1" t="n"/>
      <c r="H751" s="3" t="n"/>
      <c r="I751" s="3" t="n"/>
      <c r="J751" s="3" t="n"/>
      <c r="AF751" s="1" t="n"/>
    </row>
    <row r="752" ht="14.25" customHeight="1" s="101">
      <c r="A752" s="1" t="n"/>
      <c r="D752" s="2" t="n"/>
      <c r="E752" s="2" t="n"/>
      <c r="G752" s="1" t="n"/>
      <c r="H752" s="3" t="n"/>
      <c r="I752" s="3" t="n"/>
      <c r="J752" s="3" t="n"/>
      <c r="AF752" s="1" t="n"/>
    </row>
    <row r="753" ht="14.25" customHeight="1" s="101">
      <c r="A753" s="1" t="n"/>
      <c r="D753" s="2" t="n"/>
      <c r="E753" s="2" t="n"/>
      <c r="G753" s="1" t="n"/>
      <c r="H753" s="3" t="n"/>
      <c r="I753" s="3" t="n"/>
      <c r="J753" s="3" t="n"/>
      <c r="AF753" s="1" t="n"/>
    </row>
    <row r="754" ht="14.25" customHeight="1" s="101">
      <c r="A754" s="1" t="n"/>
      <c r="D754" s="2" t="n"/>
      <c r="E754" s="2" t="n"/>
      <c r="G754" s="1" t="n"/>
      <c r="H754" s="3" t="n"/>
      <c r="I754" s="3" t="n"/>
      <c r="J754" s="3" t="n"/>
      <c r="AF754" s="1" t="n"/>
    </row>
    <row r="755" ht="14.25" customHeight="1" s="101">
      <c r="A755" s="1" t="n"/>
      <c r="D755" s="2" t="n"/>
      <c r="E755" s="2" t="n"/>
      <c r="G755" s="1" t="n"/>
      <c r="H755" s="3" t="n"/>
      <c r="I755" s="3" t="n"/>
      <c r="J755" s="3" t="n"/>
      <c r="AF755" s="1" t="n"/>
    </row>
    <row r="756" ht="14.25" customHeight="1" s="101">
      <c r="A756" s="1" t="n"/>
      <c r="D756" s="2" t="n"/>
      <c r="E756" s="2" t="n"/>
      <c r="G756" s="1" t="n"/>
      <c r="H756" s="3" t="n"/>
      <c r="I756" s="3" t="n"/>
      <c r="J756" s="3" t="n"/>
      <c r="AF756" s="1" t="n"/>
    </row>
    <row r="757" ht="14.25" customHeight="1" s="101">
      <c r="A757" s="1" t="n"/>
      <c r="D757" s="2" t="n"/>
      <c r="E757" s="2" t="n"/>
      <c r="G757" s="1" t="n"/>
      <c r="H757" s="3" t="n"/>
      <c r="I757" s="3" t="n"/>
      <c r="J757" s="3" t="n"/>
      <c r="AF757" s="1" t="n"/>
    </row>
    <row r="758" ht="14.25" customHeight="1" s="101">
      <c r="A758" s="1" t="n"/>
      <c r="D758" s="2" t="n"/>
      <c r="E758" s="2" t="n"/>
      <c r="G758" s="1" t="n"/>
      <c r="H758" s="3" t="n"/>
      <c r="I758" s="3" t="n"/>
      <c r="J758" s="3" t="n"/>
      <c r="AF758" s="1" t="n"/>
    </row>
    <row r="759" ht="14.25" customHeight="1" s="101">
      <c r="A759" s="1" t="n"/>
      <c r="D759" s="2" t="n"/>
      <c r="E759" s="2" t="n"/>
      <c r="G759" s="1" t="n"/>
      <c r="H759" s="3" t="n"/>
      <c r="I759" s="3" t="n"/>
      <c r="J759" s="3" t="n"/>
      <c r="AF759" s="1" t="n"/>
    </row>
    <row r="760" ht="14.25" customHeight="1" s="101">
      <c r="A760" s="1" t="n"/>
      <c r="D760" s="2" t="n"/>
      <c r="E760" s="2" t="n"/>
      <c r="G760" s="1" t="n"/>
      <c r="H760" s="3" t="n"/>
      <c r="I760" s="3" t="n"/>
      <c r="J760" s="3" t="n"/>
      <c r="AF760" s="1" t="n"/>
    </row>
    <row r="761" ht="14.25" customHeight="1" s="101">
      <c r="A761" s="1" t="n"/>
      <c r="D761" s="2" t="n"/>
      <c r="E761" s="2" t="n"/>
      <c r="G761" s="1" t="n"/>
      <c r="H761" s="3" t="n"/>
      <c r="I761" s="3" t="n"/>
      <c r="J761" s="3" t="n"/>
      <c r="AF761" s="1" t="n"/>
    </row>
    <row r="762" ht="14.25" customHeight="1" s="101">
      <c r="A762" s="1" t="n"/>
      <c r="D762" s="2" t="n"/>
      <c r="E762" s="2" t="n"/>
      <c r="G762" s="1" t="n"/>
      <c r="H762" s="3" t="n"/>
      <c r="I762" s="3" t="n"/>
      <c r="J762" s="3" t="n"/>
      <c r="AF762" s="1" t="n"/>
    </row>
    <row r="763" ht="14.25" customHeight="1" s="101">
      <c r="A763" s="1" t="n"/>
      <c r="D763" s="2" t="n"/>
      <c r="E763" s="2" t="n"/>
      <c r="G763" s="1" t="n"/>
      <c r="H763" s="3" t="n"/>
      <c r="I763" s="3" t="n"/>
      <c r="J763" s="3" t="n"/>
      <c r="AF763" s="1" t="n"/>
    </row>
    <row r="764" ht="14.25" customHeight="1" s="101">
      <c r="A764" s="1" t="n"/>
      <c r="D764" s="2" t="n"/>
      <c r="E764" s="2" t="n"/>
      <c r="G764" s="1" t="n"/>
      <c r="H764" s="3" t="n"/>
      <c r="I764" s="3" t="n"/>
      <c r="J764" s="3" t="n"/>
      <c r="AF764" s="1" t="n"/>
    </row>
    <row r="765" ht="14.25" customHeight="1" s="101">
      <c r="A765" s="1" t="n"/>
      <c r="D765" s="2" t="n"/>
      <c r="E765" s="2" t="n"/>
      <c r="G765" s="1" t="n"/>
      <c r="H765" s="3" t="n"/>
      <c r="I765" s="3" t="n"/>
      <c r="J765" s="3" t="n"/>
      <c r="AF765" s="1" t="n"/>
    </row>
    <row r="766" ht="14.25" customHeight="1" s="101">
      <c r="A766" s="1" t="n"/>
      <c r="D766" s="2" t="n"/>
      <c r="E766" s="2" t="n"/>
      <c r="G766" s="1" t="n"/>
      <c r="H766" s="3" t="n"/>
      <c r="I766" s="3" t="n"/>
      <c r="J766" s="3" t="n"/>
      <c r="AF766" s="1" t="n"/>
    </row>
    <row r="767" ht="14.25" customHeight="1" s="101">
      <c r="A767" s="1" t="n"/>
      <c r="D767" s="2" t="n"/>
      <c r="E767" s="2" t="n"/>
      <c r="G767" s="1" t="n"/>
      <c r="H767" s="3" t="n"/>
      <c r="I767" s="3" t="n"/>
      <c r="J767" s="3" t="n"/>
      <c r="AF767" s="1" t="n"/>
    </row>
    <row r="768" ht="14.25" customHeight="1" s="101">
      <c r="A768" s="1" t="n"/>
      <c r="D768" s="2" t="n"/>
      <c r="E768" s="2" t="n"/>
      <c r="G768" s="1" t="n"/>
      <c r="H768" s="3" t="n"/>
      <c r="I768" s="3" t="n"/>
      <c r="J768" s="3" t="n"/>
      <c r="AF768" s="1" t="n"/>
    </row>
    <row r="769" ht="14.25" customHeight="1" s="101">
      <c r="A769" s="1" t="n"/>
      <c r="D769" s="2" t="n"/>
      <c r="E769" s="2" t="n"/>
      <c r="G769" s="1" t="n"/>
      <c r="H769" s="3" t="n"/>
      <c r="I769" s="3" t="n"/>
      <c r="J769" s="3" t="n"/>
      <c r="AF769" s="1" t="n"/>
    </row>
    <row r="770" ht="14.25" customHeight="1" s="101">
      <c r="A770" s="1" t="n"/>
      <c r="D770" s="2" t="n"/>
      <c r="E770" s="2" t="n"/>
      <c r="G770" s="1" t="n"/>
      <c r="H770" s="3" t="n"/>
      <c r="I770" s="3" t="n"/>
      <c r="J770" s="3" t="n"/>
      <c r="AF770" s="1" t="n"/>
    </row>
    <row r="771" ht="14.25" customHeight="1" s="101">
      <c r="A771" s="1" t="n"/>
      <c r="D771" s="2" t="n"/>
      <c r="E771" s="2" t="n"/>
      <c r="G771" s="1" t="n"/>
      <c r="H771" s="3" t="n"/>
      <c r="I771" s="3" t="n"/>
      <c r="J771" s="3" t="n"/>
      <c r="AF771" s="1" t="n"/>
    </row>
    <row r="772" ht="14.25" customHeight="1" s="101">
      <c r="A772" s="1" t="n"/>
      <c r="D772" s="2" t="n"/>
      <c r="E772" s="2" t="n"/>
      <c r="G772" s="1" t="n"/>
      <c r="H772" s="3" t="n"/>
      <c r="I772" s="3" t="n"/>
      <c r="J772" s="3" t="n"/>
      <c r="AF772" s="1" t="n"/>
    </row>
    <row r="773" ht="14.25" customHeight="1" s="101">
      <c r="A773" s="1" t="n"/>
      <c r="D773" s="2" t="n"/>
      <c r="E773" s="2" t="n"/>
      <c r="G773" s="1" t="n"/>
      <c r="H773" s="3" t="n"/>
      <c r="I773" s="3" t="n"/>
      <c r="J773" s="3" t="n"/>
      <c r="AF773" s="1" t="n"/>
    </row>
    <row r="774" ht="14.25" customHeight="1" s="101">
      <c r="A774" s="1" t="n"/>
      <c r="D774" s="2" t="n"/>
      <c r="E774" s="2" t="n"/>
      <c r="G774" s="1" t="n"/>
      <c r="H774" s="3" t="n"/>
      <c r="I774" s="3" t="n"/>
      <c r="J774" s="3" t="n"/>
      <c r="AF774" s="1" t="n"/>
    </row>
    <row r="775" ht="14.25" customHeight="1" s="101">
      <c r="A775" s="1" t="n"/>
      <c r="D775" s="2" t="n"/>
      <c r="E775" s="2" t="n"/>
      <c r="G775" s="1" t="n"/>
      <c r="H775" s="3" t="n"/>
      <c r="I775" s="3" t="n"/>
      <c r="J775" s="3" t="n"/>
      <c r="AF775" s="1" t="n"/>
    </row>
    <row r="776" ht="14.25" customHeight="1" s="101">
      <c r="A776" s="1" t="n"/>
      <c r="D776" s="2" t="n"/>
      <c r="E776" s="2" t="n"/>
      <c r="G776" s="1" t="n"/>
      <c r="H776" s="3" t="n"/>
      <c r="I776" s="3" t="n"/>
      <c r="J776" s="3" t="n"/>
      <c r="AF776" s="1" t="n"/>
    </row>
    <row r="777" ht="14.25" customHeight="1" s="101">
      <c r="A777" s="1" t="n"/>
      <c r="D777" s="2" t="n"/>
      <c r="E777" s="2" t="n"/>
      <c r="G777" s="1" t="n"/>
      <c r="H777" s="3" t="n"/>
      <c r="I777" s="3" t="n"/>
      <c r="J777" s="3" t="n"/>
      <c r="AF777" s="1" t="n"/>
    </row>
    <row r="778" ht="14.25" customHeight="1" s="101">
      <c r="A778" s="1" t="n"/>
      <c r="D778" s="2" t="n"/>
      <c r="E778" s="2" t="n"/>
      <c r="G778" s="1" t="n"/>
      <c r="H778" s="3" t="n"/>
      <c r="I778" s="3" t="n"/>
      <c r="J778" s="3" t="n"/>
      <c r="AF778" s="1" t="n"/>
    </row>
    <row r="779" ht="14.25" customHeight="1" s="101">
      <c r="A779" s="1" t="n"/>
      <c r="D779" s="2" t="n"/>
      <c r="E779" s="2" t="n"/>
      <c r="G779" s="1" t="n"/>
      <c r="H779" s="3" t="n"/>
      <c r="I779" s="3" t="n"/>
      <c r="J779" s="3" t="n"/>
      <c r="AF779" s="1" t="n"/>
    </row>
    <row r="780" ht="14.25" customHeight="1" s="101">
      <c r="A780" s="1" t="n"/>
      <c r="D780" s="2" t="n"/>
      <c r="E780" s="2" t="n"/>
      <c r="G780" s="1" t="n"/>
      <c r="H780" s="3" t="n"/>
      <c r="I780" s="3" t="n"/>
      <c r="J780" s="3" t="n"/>
      <c r="AF780" s="1" t="n"/>
    </row>
    <row r="781" ht="14.25" customHeight="1" s="101">
      <c r="A781" s="1" t="n"/>
      <c r="D781" s="2" t="n"/>
      <c r="E781" s="2" t="n"/>
      <c r="G781" s="1" t="n"/>
      <c r="H781" s="3" t="n"/>
      <c r="I781" s="3" t="n"/>
      <c r="J781" s="3" t="n"/>
      <c r="AF781" s="1" t="n"/>
    </row>
    <row r="782" ht="14.25" customHeight="1" s="101">
      <c r="A782" s="1" t="n"/>
      <c r="D782" s="2" t="n"/>
      <c r="E782" s="2" t="n"/>
      <c r="G782" s="1" t="n"/>
      <c r="H782" s="3" t="n"/>
      <c r="I782" s="3" t="n"/>
      <c r="J782" s="3" t="n"/>
      <c r="AF782" s="1" t="n"/>
    </row>
    <row r="783" ht="14.25" customHeight="1" s="101">
      <c r="A783" s="1" t="n"/>
      <c r="D783" s="2" t="n"/>
      <c r="E783" s="2" t="n"/>
      <c r="G783" s="1" t="n"/>
      <c r="H783" s="3" t="n"/>
      <c r="I783" s="3" t="n"/>
      <c r="J783" s="3" t="n"/>
      <c r="AF783" s="1" t="n"/>
    </row>
    <row r="784" ht="14.25" customHeight="1" s="101">
      <c r="A784" s="1" t="n"/>
      <c r="D784" s="2" t="n"/>
      <c r="E784" s="2" t="n"/>
      <c r="G784" s="1" t="n"/>
      <c r="H784" s="3" t="n"/>
      <c r="I784" s="3" t="n"/>
      <c r="J784" s="3" t="n"/>
      <c r="AF784" s="1" t="n"/>
    </row>
    <row r="785" ht="14.25" customHeight="1" s="101">
      <c r="A785" s="1" t="n"/>
      <c r="D785" s="2" t="n"/>
      <c r="E785" s="2" t="n"/>
      <c r="G785" s="1" t="n"/>
      <c r="H785" s="3" t="n"/>
      <c r="I785" s="3" t="n"/>
      <c r="J785" s="3" t="n"/>
      <c r="AF785" s="1" t="n"/>
    </row>
    <row r="786" ht="14.25" customHeight="1" s="101">
      <c r="A786" s="1" t="n"/>
      <c r="D786" s="2" t="n"/>
      <c r="E786" s="2" t="n"/>
      <c r="G786" s="1" t="n"/>
      <c r="H786" s="3" t="n"/>
      <c r="I786" s="3" t="n"/>
      <c r="J786" s="3" t="n"/>
      <c r="AF786" s="1" t="n"/>
    </row>
    <row r="787" ht="14.25" customHeight="1" s="101">
      <c r="A787" s="1" t="n"/>
      <c r="D787" s="2" t="n"/>
      <c r="E787" s="2" t="n"/>
      <c r="G787" s="1" t="n"/>
      <c r="H787" s="3" t="n"/>
      <c r="I787" s="3" t="n"/>
      <c r="J787" s="3" t="n"/>
      <c r="AF787" s="1" t="n"/>
    </row>
    <row r="788" ht="14.25" customHeight="1" s="101">
      <c r="A788" s="1" t="n"/>
      <c r="D788" s="2" t="n"/>
      <c r="E788" s="2" t="n"/>
      <c r="G788" s="1" t="n"/>
      <c r="H788" s="3" t="n"/>
      <c r="I788" s="3" t="n"/>
      <c r="J788" s="3" t="n"/>
      <c r="AF788" s="1" t="n"/>
    </row>
    <row r="789" ht="14.25" customHeight="1" s="101">
      <c r="A789" s="1" t="n"/>
      <c r="D789" s="2" t="n"/>
      <c r="E789" s="2" t="n"/>
      <c r="G789" s="1" t="n"/>
      <c r="H789" s="3" t="n"/>
      <c r="I789" s="3" t="n"/>
      <c r="J789" s="3" t="n"/>
      <c r="AF789" s="1" t="n"/>
    </row>
    <row r="790" ht="14.25" customHeight="1" s="101">
      <c r="A790" s="1" t="n"/>
      <c r="D790" s="2" t="n"/>
      <c r="E790" s="2" t="n"/>
      <c r="G790" s="1" t="n"/>
      <c r="H790" s="3" t="n"/>
      <c r="I790" s="3" t="n"/>
      <c r="J790" s="3" t="n"/>
      <c r="AF790" s="1" t="n"/>
    </row>
    <row r="791" ht="14.25" customHeight="1" s="101">
      <c r="A791" s="1" t="n"/>
      <c r="D791" s="2" t="n"/>
      <c r="E791" s="2" t="n"/>
      <c r="G791" s="1" t="n"/>
      <c r="H791" s="3" t="n"/>
      <c r="I791" s="3" t="n"/>
      <c r="J791" s="3" t="n"/>
      <c r="AF791" s="1" t="n"/>
    </row>
    <row r="792" ht="14.25" customHeight="1" s="101">
      <c r="A792" s="1" t="n"/>
      <c r="D792" s="2" t="n"/>
      <c r="E792" s="2" t="n"/>
      <c r="G792" s="1" t="n"/>
      <c r="H792" s="3" t="n"/>
      <c r="I792" s="3" t="n"/>
      <c r="J792" s="3" t="n"/>
      <c r="AF792" s="1" t="n"/>
    </row>
    <row r="793" ht="14.25" customHeight="1" s="101">
      <c r="A793" s="1" t="n"/>
      <c r="D793" s="2" t="n"/>
      <c r="E793" s="2" t="n"/>
      <c r="G793" s="1" t="n"/>
      <c r="H793" s="3" t="n"/>
      <c r="I793" s="3" t="n"/>
      <c r="J793" s="3" t="n"/>
      <c r="AF793" s="1" t="n"/>
    </row>
    <row r="794" ht="14.25" customHeight="1" s="101">
      <c r="A794" s="1" t="n"/>
      <c r="D794" s="2" t="n"/>
      <c r="E794" s="2" t="n"/>
      <c r="G794" s="1" t="n"/>
      <c r="H794" s="3" t="n"/>
      <c r="I794" s="3" t="n"/>
      <c r="J794" s="3" t="n"/>
      <c r="AF794" s="1" t="n"/>
    </row>
    <row r="795" ht="14.25" customHeight="1" s="101">
      <c r="A795" s="1" t="n"/>
      <c r="D795" s="2" t="n"/>
      <c r="E795" s="2" t="n"/>
      <c r="G795" s="1" t="n"/>
      <c r="H795" s="3" t="n"/>
      <c r="I795" s="3" t="n"/>
      <c r="J795" s="3" t="n"/>
      <c r="AF795" s="1" t="n"/>
    </row>
    <row r="796" ht="14.25" customHeight="1" s="101">
      <c r="A796" s="1" t="n"/>
      <c r="D796" s="2" t="n"/>
      <c r="E796" s="2" t="n"/>
      <c r="G796" s="1" t="n"/>
      <c r="H796" s="3" t="n"/>
      <c r="I796" s="3" t="n"/>
      <c r="J796" s="3" t="n"/>
      <c r="AF796" s="1" t="n"/>
    </row>
    <row r="797" ht="14.25" customHeight="1" s="101">
      <c r="A797" s="1" t="n"/>
      <c r="D797" s="2" t="n"/>
      <c r="E797" s="2" t="n"/>
      <c r="G797" s="1" t="n"/>
      <c r="H797" s="3" t="n"/>
      <c r="I797" s="3" t="n"/>
      <c r="J797" s="3" t="n"/>
      <c r="AF797" s="1" t="n"/>
    </row>
    <row r="798" ht="14.25" customHeight="1" s="101">
      <c r="A798" s="1" t="n"/>
      <c r="D798" s="2" t="n"/>
      <c r="E798" s="2" t="n"/>
      <c r="G798" s="1" t="n"/>
      <c r="H798" s="3" t="n"/>
      <c r="I798" s="3" t="n"/>
      <c r="J798" s="3" t="n"/>
      <c r="AF798" s="1" t="n"/>
    </row>
    <row r="799" ht="14.25" customHeight="1" s="101">
      <c r="A799" s="1" t="n"/>
      <c r="D799" s="2" t="n"/>
      <c r="E799" s="2" t="n"/>
      <c r="G799" s="1" t="n"/>
      <c r="H799" s="3" t="n"/>
      <c r="I799" s="3" t="n"/>
      <c r="J799" s="3" t="n"/>
      <c r="AF799" s="1" t="n"/>
    </row>
    <row r="800" ht="14.25" customHeight="1" s="101">
      <c r="A800" s="1" t="n"/>
      <c r="D800" s="2" t="n"/>
      <c r="E800" s="2" t="n"/>
      <c r="G800" s="1" t="n"/>
      <c r="H800" s="3" t="n"/>
      <c r="I800" s="3" t="n"/>
      <c r="J800" s="3" t="n"/>
      <c r="AF800" s="1" t="n"/>
    </row>
    <row r="801" ht="14.25" customHeight="1" s="101">
      <c r="A801" s="1" t="n"/>
      <c r="D801" s="2" t="n"/>
      <c r="E801" s="2" t="n"/>
      <c r="G801" s="1" t="n"/>
      <c r="H801" s="3" t="n"/>
      <c r="I801" s="3" t="n"/>
      <c r="J801" s="3" t="n"/>
      <c r="AF801" s="1" t="n"/>
    </row>
    <row r="802" ht="14.25" customHeight="1" s="101">
      <c r="A802" s="1" t="n"/>
      <c r="D802" s="2" t="n"/>
      <c r="E802" s="2" t="n"/>
      <c r="G802" s="1" t="n"/>
      <c r="H802" s="3" t="n"/>
      <c r="I802" s="3" t="n"/>
      <c r="J802" s="3" t="n"/>
      <c r="AF802" s="1" t="n"/>
    </row>
    <row r="803" ht="14.25" customHeight="1" s="101">
      <c r="A803" s="1" t="n"/>
      <c r="D803" s="2" t="n"/>
      <c r="E803" s="2" t="n"/>
      <c r="G803" s="1" t="n"/>
      <c r="H803" s="3" t="n"/>
      <c r="I803" s="3" t="n"/>
      <c r="J803" s="3" t="n"/>
      <c r="AF803" s="1" t="n"/>
    </row>
    <row r="804" ht="14.25" customHeight="1" s="101">
      <c r="A804" s="1" t="n"/>
      <c r="D804" s="2" t="n"/>
      <c r="E804" s="2" t="n"/>
      <c r="G804" s="1" t="n"/>
      <c r="H804" s="3" t="n"/>
      <c r="I804" s="3" t="n"/>
      <c r="J804" s="3" t="n"/>
      <c r="AF804" s="1" t="n"/>
    </row>
    <row r="805" ht="14.25" customHeight="1" s="101">
      <c r="A805" s="1" t="n"/>
      <c r="D805" s="2" t="n"/>
      <c r="E805" s="2" t="n"/>
      <c r="G805" s="1" t="n"/>
      <c r="H805" s="3" t="n"/>
      <c r="I805" s="3" t="n"/>
      <c r="J805" s="3" t="n"/>
      <c r="AF805" s="1" t="n"/>
    </row>
    <row r="806" ht="14.25" customHeight="1" s="101">
      <c r="A806" s="1" t="n"/>
      <c r="D806" s="2" t="n"/>
      <c r="E806" s="2" t="n"/>
      <c r="G806" s="1" t="n"/>
      <c r="H806" s="3" t="n"/>
      <c r="I806" s="3" t="n"/>
      <c r="J806" s="3" t="n"/>
      <c r="AF806" s="1" t="n"/>
    </row>
    <row r="807" ht="14.25" customHeight="1" s="101">
      <c r="A807" s="1" t="n"/>
      <c r="D807" s="2" t="n"/>
      <c r="E807" s="2" t="n"/>
      <c r="G807" s="1" t="n"/>
      <c r="H807" s="3" t="n"/>
      <c r="I807" s="3" t="n"/>
      <c r="J807" s="3" t="n"/>
      <c r="AF807" s="1" t="n"/>
    </row>
    <row r="808" ht="14.25" customHeight="1" s="101">
      <c r="A808" s="1" t="n"/>
      <c r="D808" s="2" t="n"/>
      <c r="E808" s="2" t="n"/>
      <c r="G808" s="1" t="n"/>
      <c r="H808" s="3" t="n"/>
      <c r="I808" s="3" t="n"/>
      <c r="J808" s="3" t="n"/>
      <c r="AF808" s="1" t="n"/>
    </row>
    <row r="809" ht="14.25" customHeight="1" s="101">
      <c r="A809" s="1" t="n"/>
      <c r="D809" s="2" t="n"/>
      <c r="E809" s="2" t="n"/>
      <c r="G809" s="1" t="n"/>
      <c r="H809" s="3" t="n"/>
      <c r="I809" s="3" t="n"/>
      <c r="J809" s="3" t="n"/>
      <c r="AF809" s="1" t="n"/>
    </row>
    <row r="810" ht="14.25" customHeight="1" s="101">
      <c r="A810" s="1" t="n"/>
      <c r="D810" s="2" t="n"/>
      <c r="E810" s="2" t="n"/>
      <c r="G810" s="1" t="n"/>
      <c r="H810" s="3" t="n"/>
      <c r="I810" s="3" t="n"/>
      <c r="J810" s="3" t="n"/>
      <c r="AF810" s="1" t="n"/>
    </row>
    <row r="811" ht="14.25" customHeight="1" s="101">
      <c r="A811" s="1" t="n"/>
      <c r="D811" s="2" t="n"/>
      <c r="E811" s="2" t="n"/>
      <c r="G811" s="1" t="n"/>
      <c r="H811" s="3" t="n"/>
      <c r="I811" s="3" t="n"/>
      <c r="J811" s="3" t="n"/>
      <c r="AF811" s="1" t="n"/>
    </row>
    <row r="812" ht="14.25" customHeight="1" s="101">
      <c r="A812" s="1" t="n"/>
      <c r="D812" s="2" t="n"/>
      <c r="E812" s="2" t="n"/>
      <c r="G812" s="1" t="n"/>
      <c r="H812" s="3" t="n"/>
      <c r="I812" s="3" t="n"/>
      <c r="J812" s="3" t="n"/>
      <c r="AF812" s="1" t="n"/>
    </row>
    <row r="813" ht="14.25" customHeight="1" s="101">
      <c r="A813" s="1" t="n"/>
      <c r="D813" s="2" t="n"/>
      <c r="E813" s="2" t="n"/>
      <c r="G813" s="1" t="n"/>
      <c r="H813" s="3" t="n"/>
      <c r="I813" s="3" t="n"/>
      <c r="J813" s="3" t="n"/>
      <c r="AF813" s="1" t="n"/>
    </row>
    <row r="814" ht="14.25" customHeight="1" s="101">
      <c r="A814" s="1" t="n"/>
      <c r="D814" s="2" t="n"/>
      <c r="E814" s="2" t="n"/>
      <c r="G814" s="1" t="n"/>
      <c r="H814" s="3" t="n"/>
      <c r="I814" s="3" t="n"/>
      <c r="J814" s="3" t="n"/>
      <c r="AF814" s="1" t="n"/>
    </row>
    <row r="815" ht="14.25" customHeight="1" s="101">
      <c r="A815" s="1" t="n"/>
      <c r="D815" s="2" t="n"/>
      <c r="E815" s="2" t="n"/>
      <c r="G815" s="1" t="n"/>
      <c r="H815" s="3" t="n"/>
      <c r="I815" s="3" t="n"/>
      <c r="J815" s="3" t="n"/>
      <c r="AF815" s="1" t="n"/>
    </row>
    <row r="816" ht="14.25" customHeight="1" s="101">
      <c r="A816" s="1" t="n"/>
      <c r="D816" s="2" t="n"/>
      <c r="E816" s="2" t="n"/>
      <c r="G816" s="1" t="n"/>
      <c r="H816" s="3" t="n"/>
      <c r="I816" s="3" t="n"/>
      <c r="J816" s="3" t="n"/>
      <c r="AF816" s="1" t="n"/>
    </row>
    <row r="817" ht="14.25" customHeight="1" s="101">
      <c r="A817" s="1" t="n"/>
      <c r="D817" s="2" t="n"/>
      <c r="E817" s="2" t="n"/>
      <c r="G817" s="1" t="n"/>
      <c r="H817" s="3" t="n"/>
      <c r="I817" s="3" t="n"/>
      <c r="J817" s="3" t="n"/>
      <c r="AF817" s="1" t="n"/>
    </row>
    <row r="818" ht="14.25" customHeight="1" s="101">
      <c r="A818" s="1" t="n"/>
      <c r="D818" s="2" t="n"/>
      <c r="E818" s="2" t="n"/>
      <c r="G818" s="1" t="n"/>
      <c r="H818" s="3" t="n"/>
      <c r="I818" s="3" t="n"/>
      <c r="J818" s="3" t="n"/>
      <c r="AF818" s="1" t="n"/>
    </row>
    <row r="819" ht="14.25" customHeight="1" s="101">
      <c r="A819" s="1" t="n"/>
      <c r="D819" s="2" t="n"/>
      <c r="E819" s="2" t="n"/>
      <c r="G819" s="1" t="n"/>
      <c r="H819" s="3" t="n"/>
      <c r="I819" s="3" t="n"/>
      <c r="J819" s="3" t="n"/>
      <c r="AF819" s="1" t="n"/>
    </row>
    <row r="820" ht="14.25" customHeight="1" s="101">
      <c r="A820" s="1" t="n"/>
      <c r="D820" s="2" t="n"/>
      <c r="E820" s="2" t="n"/>
      <c r="G820" s="1" t="n"/>
      <c r="H820" s="3" t="n"/>
      <c r="I820" s="3" t="n"/>
      <c r="J820" s="3" t="n"/>
      <c r="AF820" s="1" t="n"/>
    </row>
    <row r="821" ht="14.25" customHeight="1" s="101">
      <c r="A821" s="1" t="n"/>
      <c r="D821" s="2" t="n"/>
      <c r="E821" s="2" t="n"/>
      <c r="G821" s="1" t="n"/>
      <c r="H821" s="3" t="n"/>
      <c r="I821" s="3" t="n"/>
      <c r="J821" s="3" t="n"/>
      <c r="AF821" s="1" t="n"/>
    </row>
    <row r="822" ht="14.25" customHeight="1" s="101">
      <c r="A822" s="1" t="n"/>
      <c r="D822" s="2" t="n"/>
      <c r="E822" s="2" t="n"/>
      <c r="G822" s="1" t="n"/>
      <c r="H822" s="3" t="n"/>
      <c r="I822" s="3" t="n"/>
      <c r="J822" s="3" t="n"/>
      <c r="AF822" s="1" t="n"/>
    </row>
    <row r="823" ht="14.25" customHeight="1" s="101">
      <c r="A823" s="1" t="n"/>
      <c r="D823" s="2" t="n"/>
      <c r="E823" s="2" t="n"/>
      <c r="G823" s="1" t="n"/>
      <c r="H823" s="3" t="n"/>
      <c r="I823" s="3" t="n"/>
      <c r="J823" s="3" t="n"/>
      <c r="AF823" s="1" t="n"/>
    </row>
    <row r="824" ht="14.25" customHeight="1" s="101">
      <c r="A824" s="1" t="n"/>
      <c r="D824" s="2" t="n"/>
      <c r="E824" s="2" t="n"/>
      <c r="G824" s="1" t="n"/>
      <c r="H824" s="3" t="n"/>
      <c r="I824" s="3" t="n"/>
      <c r="J824" s="3" t="n"/>
      <c r="AF824" s="1" t="n"/>
    </row>
    <row r="825" ht="14.25" customHeight="1" s="101">
      <c r="A825" s="1" t="n"/>
      <c r="D825" s="2" t="n"/>
      <c r="E825" s="2" t="n"/>
      <c r="G825" s="1" t="n"/>
      <c r="H825" s="3" t="n"/>
      <c r="I825" s="3" t="n"/>
      <c r="J825" s="3" t="n"/>
      <c r="AF825" s="1" t="n"/>
    </row>
    <row r="826" ht="14.25" customHeight="1" s="101">
      <c r="A826" s="1" t="n"/>
      <c r="D826" s="2" t="n"/>
      <c r="E826" s="2" t="n"/>
      <c r="G826" s="1" t="n"/>
      <c r="H826" s="3" t="n"/>
      <c r="I826" s="3" t="n"/>
      <c r="J826" s="3" t="n"/>
      <c r="AF826" s="1" t="n"/>
    </row>
    <row r="827" ht="14.25" customHeight="1" s="101">
      <c r="A827" s="1" t="n"/>
      <c r="D827" s="2" t="n"/>
      <c r="E827" s="2" t="n"/>
      <c r="G827" s="1" t="n"/>
      <c r="H827" s="3" t="n"/>
      <c r="I827" s="3" t="n"/>
      <c r="J827" s="3" t="n"/>
      <c r="AF827" s="1" t="n"/>
    </row>
    <row r="828" ht="14.25" customHeight="1" s="101">
      <c r="A828" s="1" t="n"/>
      <c r="D828" s="2" t="n"/>
      <c r="E828" s="2" t="n"/>
      <c r="G828" s="1" t="n"/>
      <c r="H828" s="3" t="n"/>
      <c r="I828" s="3" t="n"/>
      <c r="J828" s="3" t="n"/>
      <c r="AF828" s="1" t="n"/>
    </row>
    <row r="829" ht="14.25" customHeight="1" s="101">
      <c r="A829" s="1" t="n"/>
      <c r="D829" s="2" t="n"/>
      <c r="E829" s="2" t="n"/>
      <c r="G829" s="1" t="n"/>
      <c r="H829" s="3" t="n"/>
      <c r="I829" s="3" t="n"/>
      <c r="J829" s="3" t="n"/>
      <c r="AF829" s="1" t="n"/>
    </row>
    <row r="830" ht="14.25" customHeight="1" s="101">
      <c r="A830" s="1" t="n"/>
      <c r="D830" s="2" t="n"/>
      <c r="E830" s="2" t="n"/>
      <c r="G830" s="1" t="n"/>
      <c r="H830" s="3" t="n"/>
      <c r="I830" s="3" t="n"/>
      <c r="J830" s="3" t="n"/>
      <c r="AF830" s="1" t="n"/>
    </row>
    <row r="831" ht="14.25" customHeight="1" s="101">
      <c r="A831" s="1" t="n"/>
      <c r="D831" s="2" t="n"/>
      <c r="E831" s="2" t="n"/>
      <c r="G831" s="1" t="n"/>
      <c r="H831" s="3" t="n"/>
      <c r="I831" s="3" t="n"/>
      <c r="J831" s="3" t="n"/>
      <c r="AF831" s="1" t="n"/>
    </row>
    <row r="832" ht="14.25" customHeight="1" s="101">
      <c r="A832" s="1" t="n"/>
      <c r="D832" s="2" t="n"/>
      <c r="E832" s="2" t="n"/>
      <c r="G832" s="1" t="n"/>
      <c r="H832" s="3" t="n"/>
      <c r="I832" s="3" t="n"/>
      <c r="J832" s="3" t="n"/>
      <c r="AF832" s="1" t="n"/>
    </row>
    <row r="833" ht="14.25" customHeight="1" s="101">
      <c r="A833" s="1" t="n"/>
      <c r="D833" s="2" t="n"/>
      <c r="E833" s="2" t="n"/>
      <c r="G833" s="1" t="n"/>
      <c r="H833" s="3" t="n"/>
      <c r="I833" s="3" t="n"/>
      <c r="J833" s="3" t="n"/>
      <c r="AF833" s="1" t="n"/>
    </row>
    <row r="834" ht="14.25" customHeight="1" s="101">
      <c r="A834" s="1" t="n"/>
      <c r="D834" s="2" t="n"/>
      <c r="E834" s="2" t="n"/>
      <c r="G834" s="1" t="n"/>
      <c r="H834" s="3" t="n"/>
      <c r="I834" s="3" t="n"/>
      <c r="J834" s="3" t="n"/>
      <c r="AF834" s="1" t="n"/>
    </row>
    <row r="835" ht="14.25" customHeight="1" s="101">
      <c r="A835" s="1" t="n"/>
      <c r="D835" s="2" t="n"/>
      <c r="E835" s="2" t="n"/>
      <c r="G835" s="1" t="n"/>
      <c r="H835" s="3" t="n"/>
      <c r="I835" s="3" t="n"/>
      <c r="J835" s="3" t="n"/>
      <c r="AF835" s="1" t="n"/>
    </row>
    <row r="836" ht="14.25" customHeight="1" s="101">
      <c r="A836" s="1" t="n"/>
      <c r="D836" s="2" t="n"/>
      <c r="E836" s="2" t="n"/>
      <c r="G836" s="1" t="n"/>
      <c r="H836" s="3" t="n"/>
      <c r="I836" s="3" t="n"/>
      <c r="J836" s="3" t="n"/>
      <c r="AF836" s="1" t="n"/>
    </row>
    <row r="837" ht="14.25" customHeight="1" s="101">
      <c r="A837" s="1" t="n"/>
      <c r="D837" s="2" t="n"/>
      <c r="E837" s="2" t="n"/>
      <c r="G837" s="1" t="n"/>
      <c r="H837" s="3" t="n"/>
      <c r="I837" s="3" t="n"/>
      <c r="J837" s="3" t="n"/>
      <c r="AF837" s="1" t="n"/>
    </row>
    <row r="838" ht="14.25" customHeight="1" s="101">
      <c r="A838" s="1" t="n"/>
      <c r="D838" s="2" t="n"/>
      <c r="E838" s="2" t="n"/>
      <c r="G838" s="1" t="n"/>
      <c r="H838" s="3" t="n"/>
      <c r="I838" s="3" t="n"/>
      <c r="J838" s="3" t="n"/>
      <c r="AF838" s="1" t="n"/>
    </row>
    <row r="839" ht="14.25" customHeight="1" s="101">
      <c r="A839" s="1" t="n"/>
      <c r="D839" s="2" t="n"/>
      <c r="E839" s="2" t="n"/>
      <c r="G839" s="1" t="n"/>
      <c r="H839" s="3" t="n"/>
      <c r="I839" s="3" t="n"/>
      <c r="J839" s="3" t="n"/>
      <c r="AF839" s="1" t="n"/>
    </row>
    <row r="840" ht="14.25" customHeight="1" s="101">
      <c r="A840" s="1" t="n"/>
      <c r="D840" s="2" t="n"/>
      <c r="E840" s="2" t="n"/>
      <c r="G840" s="1" t="n"/>
      <c r="H840" s="3" t="n"/>
      <c r="I840" s="3" t="n"/>
      <c r="J840" s="3" t="n"/>
      <c r="AF840" s="1" t="n"/>
    </row>
    <row r="841" ht="14.25" customHeight="1" s="101">
      <c r="A841" s="1" t="n"/>
      <c r="D841" s="2" t="n"/>
      <c r="E841" s="2" t="n"/>
      <c r="G841" s="1" t="n"/>
      <c r="H841" s="3" t="n"/>
      <c r="I841" s="3" t="n"/>
      <c r="J841" s="3" t="n"/>
      <c r="AF841" s="1" t="n"/>
    </row>
    <row r="842" ht="14.25" customHeight="1" s="101">
      <c r="A842" s="1" t="n"/>
      <c r="D842" s="2" t="n"/>
      <c r="E842" s="2" t="n"/>
      <c r="G842" s="1" t="n"/>
      <c r="H842" s="3" t="n"/>
      <c r="I842" s="3" t="n"/>
      <c r="J842" s="3" t="n"/>
      <c r="AF842" s="1" t="n"/>
    </row>
    <row r="843" ht="14.25" customHeight="1" s="101">
      <c r="A843" s="1" t="n"/>
      <c r="D843" s="2" t="n"/>
      <c r="E843" s="2" t="n"/>
      <c r="G843" s="1" t="n"/>
      <c r="H843" s="3" t="n"/>
      <c r="I843" s="3" t="n"/>
      <c r="J843" s="3" t="n"/>
      <c r="AF843" s="1" t="n"/>
    </row>
    <row r="844" ht="14.25" customHeight="1" s="101">
      <c r="A844" s="1" t="n"/>
      <c r="D844" s="2" t="n"/>
      <c r="E844" s="2" t="n"/>
      <c r="G844" s="1" t="n"/>
      <c r="H844" s="3" t="n"/>
      <c r="I844" s="3" t="n"/>
      <c r="J844" s="3" t="n"/>
      <c r="AF844" s="1" t="n"/>
    </row>
    <row r="845" ht="14.25" customHeight="1" s="101">
      <c r="A845" s="1" t="n"/>
      <c r="D845" s="2" t="n"/>
      <c r="E845" s="2" t="n"/>
      <c r="G845" s="1" t="n"/>
      <c r="H845" s="3" t="n"/>
      <c r="I845" s="3" t="n"/>
      <c r="J845" s="3" t="n"/>
      <c r="AF845" s="1" t="n"/>
    </row>
    <row r="846" ht="14.25" customHeight="1" s="101">
      <c r="A846" s="1" t="n"/>
      <c r="D846" s="2" t="n"/>
      <c r="E846" s="2" t="n"/>
      <c r="G846" s="1" t="n"/>
      <c r="H846" s="3" t="n"/>
      <c r="I846" s="3" t="n"/>
      <c r="J846" s="3" t="n"/>
      <c r="AF846" s="1" t="n"/>
    </row>
    <row r="847" ht="14.25" customHeight="1" s="101">
      <c r="A847" s="1" t="n"/>
      <c r="D847" s="2" t="n"/>
      <c r="E847" s="2" t="n"/>
      <c r="G847" s="1" t="n"/>
      <c r="H847" s="3" t="n"/>
      <c r="I847" s="3" t="n"/>
      <c r="J847" s="3" t="n"/>
      <c r="AF847" s="1" t="n"/>
    </row>
    <row r="848" ht="14.25" customHeight="1" s="101">
      <c r="A848" s="1" t="n"/>
      <c r="D848" s="2" t="n"/>
      <c r="E848" s="2" t="n"/>
      <c r="G848" s="1" t="n"/>
      <c r="H848" s="3" t="n"/>
      <c r="I848" s="3" t="n"/>
      <c r="J848" s="3" t="n"/>
      <c r="AF848" s="1" t="n"/>
    </row>
    <row r="849" ht="14.25" customHeight="1" s="101">
      <c r="A849" s="1" t="n"/>
      <c r="D849" s="2" t="n"/>
      <c r="E849" s="2" t="n"/>
      <c r="G849" s="1" t="n"/>
      <c r="H849" s="3" t="n"/>
      <c r="I849" s="3" t="n"/>
      <c r="J849" s="3" t="n"/>
      <c r="AF849" s="1" t="n"/>
    </row>
    <row r="850" ht="14.25" customHeight="1" s="101">
      <c r="A850" s="1" t="n"/>
      <c r="D850" s="2" t="n"/>
      <c r="E850" s="2" t="n"/>
      <c r="G850" s="1" t="n"/>
      <c r="H850" s="3" t="n"/>
      <c r="I850" s="3" t="n"/>
      <c r="J850" s="3" t="n"/>
      <c r="AF850" s="1" t="n"/>
    </row>
    <row r="851" ht="14.25" customHeight="1" s="101">
      <c r="A851" s="1" t="n"/>
      <c r="D851" s="2" t="n"/>
      <c r="E851" s="2" t="n"/>
      <c r="G851" s="1" t="n"/>
      <c r="H851" s="3" t="n"/>
      <c r="I851" s="3" t="n"/>
      <c r="J851" s="3" t="n"/>
      <c r="AF851" s="1" t="n"/>
    </row>
    <row r="852" ht="14.25" customHeight="1" s="101">
      <c r="A852" s="1" t="n"/>
      <c r="D852" s="2" t="n"/>
      <c r="E852" s="2" t="n"/>
      <c r="G852" s="1" t="n"/>
      <c r="H852" s="3" t="n"/>
      <c r="I852" s="3" t="n"/>
      <c r="J852" s="3" t="n"/>
      <c r="AF852" s="1" t="n"/>
    </row>
    <row r="853" ht="14.25" customHeight="1" s="101">
      <c r="A853" s="1" t="n"/>
      <c r="D853" s="2" t="n"/>
      <c r="E853" s="2" t="n"/>
      <c r="G853" s="1" t="n"/>
      <c r="H853" s="3" t="n"/>
      <c r="I853" s="3" t="n"/>
      <c r="J853" s="3" t="n"/>
      <c r="AF853" s="1" t="n"/>
    </row>
    <row r="854" ht="14.25" customHeight="1" s="101">
      <c r="A854" s="1" t="n"/>
      <c r="D854" s="2" t="n"/>
      <c r="E854" s="2" t="n"/>
      <c r="G854" s="1" t="n"/>
      <c r="H854" s="3" t="n"/>
      <c r="I854" s="3" t="n"/>
      <c r="J854" s="3" t="n"/>
      <c r="AF854" s="1" t="n"/>
    </row>
    <row r="855" ht="14.25" customHeight="1" s="101">
      <c r="A855" s="1" t="n"/>
      <c r="D855" s="2" t="n"/>
      <c r="E855" s="2" t="n"/>
      <c r="G855" s="1" t="n"/>
      <c r="H855" s="3" t="n"/>
      <c r="I855" s="3" t="n"/>
      <c r="J855" s="3" t="n"/>
      <c r="AF855" s="1" t="n"/>
    </row>
    <row r="856" ht="14.25" customHeight="1" s="101">
      <c r="A856" s="1" t="n"/>
      <c r="D856" s="2" t="n"/>
      <c r="E856" s="2" t="n"/>
      <c r="G856" s="1" t="n"/>
      <c r="H856" s="3" t="n"/>
      <c r="I856" s="3" t="n"/>
      <c r="J856" s="3" t="n"/>
      <c r="AF856" s="1" t="n"/>
    </row>
    <row r="857" ht="14.25" customHeight="1" s="101">
      <c r="A857" s="1" t="n"/>
      <c r="D857" s="2" t="n"/>
      <c r="E857" s="2" t="n"/>
      <c r="G857" s="1" t="n"/>
      <c r="H857" s="3" t="n"/>
      <c r="I857" s="3" t="n"/>
      <c r="J857" s="3" t="n"/>
      <c r="AF857" s="1" t="n"/>
    </row>
    <row r="858" ht="14.25" customHeight="1" s="101">
      <c r="A858" s="1" t="n"/>
      <c r="D858" s="2" t="n"/>
      <c r="E858" s="2" t="n"/>
      <c r="G858" s="1" t="n"/>
      <c r="H858" s="3" t="n"/>
      <c r="I858" s="3" t="n"/>
      <c r="J858" s="3" t="n"/>
      <c r="AF858" s="1" t="n"/>
    </row>
    <row r="859" ht="14.25" customHeight="1" s="101">
      <c r="A859" s="1" t="n"/>
      <c r="D859" s="2" t="n"/>
      <c r="E859" s="2" t="n"/>
      <c r="G859" s="1" t="n"/>
      <c r="H859" s="3" t="n"/>
      <c r="I859" s="3" t="n"/>
      <c r="J859" s="3" t="n"/>
      <c r="AF859" s="1" t="n"/>
    </row>
    <row r="860" ht="14.25" customHeight="1" s="101">
      <c r="A860" s="1" t="n"/>
      <c r="D860" s="2" t="n"/>
      <c r="E860" s="2" t="n"/>
      <c r="G860" s="1" t="n"/>
      <c r="H860" s="3" t="n"/>
      <c r="I860" s="3" t="n"/>
      <c r="J860" s="3" t="n"/>
      <c r="AF860" s="1" t="n"/>
    </row>
    <row r="861" ht="14.25" customHeight="1" s="101">
      <c r="A861" s="1" t="n"/>
      <c r="D861" s="2" t="n"/>
      <c r="E861" s="2" t="n"/>
      <c r="G861" s="1" t="n"/>
      <c r="H861" s="3" t="n"/>
      <c r="I861" s="3" t="n"/>
      <c r="J861" s="3" t="n"/>
      <c r="AF861" s="1" t="n"/>
    </row>
    <row r="862" ht="14.25" customHeight="1" s="101">
      <c r="A862" s="1" t="n"/>
      <c r="D862" s="2" t="n"/>
      <c r="E862" s="2" t="n"/>
      <c r="G862" s="1" t="n"/>
      <c r="H862" s="3" t="n"/>
      <c r="I862" s="3" t="n"/>
      <c r="J862" s="3" t="n"/>
      <c r="AF862" s="1" t="n"/>
    </row>
    <row r="863" ht="14.25" customHeight="1" s="101">
      <c r="A863" s="1" t="n"/>
      <c r="D863" s="2" t="n"/>
      <c r="E863" s="2" t="n"/>
      <c r="G863" s="1" t="n"/>
      <c r="H863" s="3" t="n"/>
      <c r="I863" s="3" t="n"/>
      <c r="J863" s="3" t="n"/>
      <c r="AF863" s="1" t="n"/>
    </row>
    <row r="864" ht="14.25" customHeight="1" s="101">
      <c r="A864" s="1" t="n"/>
      <c r="D864" s="2" t="n"/>
      <c r="E864" s="2" t="n"/>
      <c r="G864" s="1" t="n"/>
      <c r="H864" s="3" t="n"/>
      <c r="I864" s="3" t="n"/>
      <c r="J864" s="3" t="n"/>
      <c r="AF864" s="1" t="n"/>
    </row>
    <row r="865" ht="14.25" customHeight="1" s="101">
      <c r="A865" s="1" t="n"/>
      <c r="D865" s="2" t="n"/>
      <c r="E865" s="2" t="n"/>
      <c r="G865" s="1" t="n"/>
      <c r="H865" s="3" t="n"/>
      <c r="I865" s="3" t="n"/>
      <c r="J865" s="3" t="n"/>
      <c r="AF865" s="1" t="n"/>
    </row>
    <row r="866" ht="14.25" customHeight="1" s="101">
      <c r="A866" s="1" t="n"/>
      <c r="D866" s="2" t="n"/>
      <c r="E866" s="2" t="n"/>
      <c r="G866" s="1" t="n"/>
      <c r="H866" s="3" t="n"/>
      <c r="I866" s="3" t="n"/>
      <c r="J866" s="3" t="n"/>
      <c r="AF866" s="1" t="n"/>
    </row>
    <row r="867" ht="14.25" customHeight="1" s="101">
      <c r="A867" s="1" t="n"/>
      <c r="D867" s="2" t="n"/>
      <c r="E867" s="2" t="n"/>
      <c r="G867" s="1" t="n"/>
      <c r="H867" s="3" t="n"/>
      <c r="I867" s="3" t="n"/>
      <c r="J867" s="3" t="n"/>
      <c r="AF867" s="1" t="n"/>
    </row>
    <row r="868" ht="14.25" customHeight="1" s="101">
      <c r="A868" s="1" t="n"/>
      <c r="D868" s="2" t="n"/>
      <c r="E868" s="2" t="n"/>
      <c r="G868" s="1" t="n"/>
      <c r="H868" s="3" t="n"/>
      <c r="I868" s="3" t="n"/>
      <c r="J868" s="3" t="n"/>
      <c r="AF868" s="1" t="n"/>
    </row>
    <row r="869" ht="14.25" customHeight="1" s="101">
      <c r="A869" s="1" t="n"/>
      <c r="D869" s="2" t="n"/>
      <c r="E869" s="2" t="n"/>
      <c r="G869" s="1" t="n"/>
      <c r="H869" s="3" t="n"/>
      <c r="I869" s="3" t="n"/>
      <c r="J869" s="3" t="n"/>
      <c r="AF869" s="1" t="n"/>
    </row>
    <row r="870" ht="14.25" customHeight="1" s="101">
      <c r="A870" s="1" t="n"/>
      <c r="D870" s="2" t="n"/>
      <c r="E870" s="2" t="n"/>
      <c r="G870" s="1" t="n"/>
      <c r="H870" s="3" t="n"/>
      <c r="I870" s="3" t="n"/>
      <c r="J870" s="3" t="n"/>
      <c r="AF870" s="1" t="n"/>
    </row>
    <row r="871" ht="14.25" customHeight="1" s="101">
      <c r="A871" s="1" t="n"/>
      <c r="D871" s="2" t="n"/>
      <c r="E871" s="2" t="n"/>
      <c r="G871" s="1" t="n"/>
      <c r="H871" s="3" t="n"/>
      <c r="I871" s="3" t="n"/>
      <c r="J871" s="3" t="n"/>
      <c r="AF871" s="1" t="n"/>
    </row>
    <row r="872" ht="14.25" customHeight="1" s="101">
      <c r="A872" s="1" t="n"/>
      <c r="D872" s="2" t="n"/>
      <c r="E872" s="2" t="n"/>
      <c r="G872" s="1" t="n"/>
      <c r="H872" s="3" t="n"/>
      <c r="I872" s="3" t="n"/>
      <c r="J872" s="3" t="n"/>
      <c r="AF872" s="1" t="n"/>
    </row>
    <row r="873" ht="14.25" customHeight="1" s="101">
      <c r="A873" s="1" t="n"/>
      <c r="D873" s="2" t="n"/>
      <c r="E873" s="2" t="n"/>
      <c r="G873" s="1" t="n"/>
      <c r="H873" s="3" t="n"/>
      <c r="I873" s="3" t="n"/>
      <c r="J873" s="3" t="n"/>
      <c r="AF873" s="1" t="n"/>
    </row>
    <row r="874" ht="14.25" customHeight="1" s="101">
      <c r="A874" s="1" t="n"/>
      <c r="D874" s="2" t="n"/>
      <c r="E874" s="2" t="n"/>
      <c r="G874" s="1" t="n"/>
      <c r="H874" s="3" t="n"/>
      <c r="I874" s="3" t="n"/>
      <c r="J874" s="3" t="n"/>
      <c r="AF874" s="1" t="n"/>
    </row>
    <row r="875" ht="14.25" customHeight="1" s="101">
      <c r="A875" s="1" t="n"/>
      <c r="D875" s="2" t="n"/>
      <c r="E875" s="2" t="n"/>
      <c r="G875" s="1" t="n"/>
      <c r="H875" s="3" t="n"/>
      <c r="I875" s="3" t="n"/>
      <c r="J875" s="3" t="n"/>
      <c r="AF875" s="1" t="n"/>
    </row>
    <row r="876" ht="14.25" customHeight="1" s="101">
      <c r="A876" s="1" t="n"/>
      <c r="D876" s="2" t="n"/>
      <c r="E876" s="2" t="n"/>
      <c r="G876" s="1" t="n"/>
      <c r="H876" s="3" t="n"/>
      <c r="I876" s="3" t="n"/>
      <c r="J876" s="3" t="n"/>
      <c r="AF876" s="1" t="n"/>
    </row>
    <row r="877" ht="14.25" customHeight="1" s="101">
      <c r="A877" s="1" t="n"/>
      <c r="D877" s="2" t="n"/>
      <c r="E877" s="2" t="n"/>
      <c r="G877" s="1" t="n"/>
      <c r="H877" s="3" t="n"/>
      <c r="I877" s="3" t="n"/>
      <c r="J877" s="3" t="n"/>
      <c r="AF877" s="1" t="n"/>
    </row>
    <row r="878" ht="14.25" customHeight="1" s="101">
      <c r="A878" s="1" t="n"/>
      <c r="D878" s="2" t="n"/>
      <c r="E878" s="2" t="n"/>
      <c r="G878" s="1" t="n"/>
      <c r="H878" s="3" t="n"/>
      <c r="I878" s="3" t="n"/>
      <c r="J878" s="3" t="n"/>
      <c r="AF878" s="1" t="n"/>
    </row>
    <row r="879" ht="14.25" customHeight="1" s="101">
      <c r="A879" s="1" t="n"/>
      <c r="D879" s="2" t="n"/>
      <c r="E879" s="2" t="n"/>
      <c r="G879" s="1" t="n"/>
      <c r="H879" s="3" t="n"/>
      <c r="I879" s="3" t="n"/>
      <c r="J879" s="3" t="n"/>
      <c r="AF879" s="1" t="n"/>
    </row>
    <row r="880" ht="14.25" customHeight="1" s="101">
      <c r="A880" s="1" t="n"/>
      <c r="D880" s="2" t="n"/>
      <c r="E880" s="2" t="n"/>
      <c r="G880" s="1" t="n"/>
      <c r="H880" s="3" t="n"/>
      <c r="I880" s="3" t="n"/>
      <c r="J880" s="3" t="n"/>
      <c r="AF880" s="1" t="n"/>
    </row>
    <row r="881" ht="14.25" customHeight="1" s="101">
      <c r="A881" s="1" t="n"/>
      <c r="D881" s="2" t="n"/>
      <c r="E881" s="2" t="n"/>
      <c r="G881" s="1" t="n"/>
      <c r="H881" s="3" t="n"/>
      <c r="I881" s="3" t="n"/>
      <c r="J881" s="3" t="n"/>
      <c r="AF881" s="1" t="n"/>
    </row>
    <row r="882" ht="14.25" customHeight="1" s="101">
      <c r="A882" s="1" t="n"/>
      <c r="D882" s="2" t="n"/>
      <c r="E882" s="2" t="n"/>
      <c r="G882" s="1" t="n"/>
      <c r="H882" s="3" t="n"/>
      <c r="I882" s="3" t="n"/>
      <c r="J882" s="3" t="n"/>
      <c r="AF882" s="1" t="n"/>
    </row>
    <row r="883" ht="14.25" customHeight="1" s="101">
      <c r="A883" s="1" t="n"/>
      <c r="D883" s="2" t="n"/>
      <c r="E883" s="2" t="n"/>
      <c r="G883" s="1" t="n"/>
      <c r="H883" s="3" t="n"/>
      <c r="I883" s="3" t="n"/>
      <c r="J883" s="3" t="n"/>
      <c r="AF883" s="1" t="n"/>
    </row>
    <row r="884" ht="14.25" customHeight="1" s="101">
      <c r="A884" s="1" t="n"/>
      <c r="D884" s="2" t="n"/>
      <c r="E884" s="2" t="n"/>
      <c r="G884" s="1" t="n"/>
      <c r="H884" s="3" t="n"/>
      <c r="I884" s="3" t="n"/>
      <c r="J884" s="3" t="n"/>
      <c r="AF884" s="1" t="n"/>
    </row>
    <row r="885" ht="14.25" customHeight="1" s="101">
      <c r="A885" s="1" t="n"/>
      <c r="D885" s="2" t="n"/>
      <c r="E885" s="2" t="n"/>
      <c r="G885" s="1" t="n"/>
      <c r="H885" s="3" t="n"/>
      <c r="I885" s="3" t="n"/>
      <c r="J885" s="3" t="n"/>
      <c r="AF885" s="1" t="n"/>
    </row>
    <row r="886" ht="14.25" customHeight="1" s="101">
      <c r="A886" s="1" t="n"/>
      <c r="D886" s="2" t="n"/>
      <c r="E886" s="2" t="n"/>
      <c r="G886" s="1" t="n"/>
      <c r="H886" s="3" t="n"/>
      <c r="I886" s="3" t="n"/>
      <c r="J886" s="3" t="n"/>
      <c r="AF886" s="1" t="n"/>
    </row>
    <row r="887" ht="14.25" customHeight="1" s="101">
      <c r="A887" s="1" t="n"/>
      <c r="D887" s="2" t="n"/>
      <c r="E887" s="2" t="n"/>
      <c r="G887" s="1" t="n"/>
      <c r="H887" s="3" t="n"/>
      <c r="I887" s="3" t="n"/>
      <c r="J887" s="3" t="n"/>
      <c r="AF887" s="1" t="n"/>
    </row>
    <row r="888" ht="14.25" customHeight="1" s="101">
      <c r="A888" s="1" t="n"/>
      <c r="D888" s="2" t="n"/>
      <c r="E888" s="2" t="n"/>
      <c r="G888" s="1" t="n"/>
      <c r="H888" s="3" t="n"/>
      <c r="I888" s="3" t="n"/>
      <c r="J888" s="3" t="n"/>
      <c r="AF888" s="1" t="n"/>
    </row>
    <row r="889" ht="14.25" customHeight="1" s="101">
      <c r="A889" s="1" t="n"/>
      <c r="D889" s="2" t="n"/>
      <c r="E889" s="2" t="n"/>
      <c r="G889" s="1" t="n"/>
      <c r="H889" s="3" t="n"/>
      <c r="I889" s="3" t="n"/>
      <c r="J889" s="3" t="n"/>
      <c r="AF889" s="1" t="n"/>
    </row>
    <row r="890" ht="14.25" customHeight="1" s="101">
      <c r="A890" s="1" t="n"/>
      <c r="D890" s="2" t="n"/>
      <c r="E890" s="2" t="n"/>
      <c r="G890" s="1" t="n"/>
      <c r="H890" s="3" t="n"/>
      <c r="I890" s="3" t="n"/>
      <c r="J890" s="3" t="n"/>
      <c r="AF890" s="1" t="n"/>
    </row>
    <row r="891" ht="14.25" customHeight="1" s="101">
      <c r="A891" s="1" t="n"/>
      <c r="D891" s="2" t="n"/>
      <c r="E891" s="2" t="n"/>
      <c r="G891" s="1" t="n"/>
      <c r="H891" s="3" t="n"/>
      <c r="I891" s="3" t="n"/>
      <c r="J891" s="3" t="n"/>
      <c r="AF891" s="1" t="n"/>
    </row>
    <row r="892" ht="14.25" customHeight="1" s="101">
      <c r="A892" s="1" t="n"/>
      <c r="D892" s="2" t="n"/>
      <c r="E892" s="2" t="n"/>
      <c r="G892" s="1" t="n"/>
      <c r="H892" s="3" t="n"/>
      <c r="I892" s="3" t="n"/>
      <c r="J892" s="3" t="n"/>
      <c r="AF892" s="1" t="n"/>
    </row>
    <row r="893" ht="14.25" customHeight="1" s="101">
      <c r="A893" s="1" t="n"/>
      <c r="D893" s="2" t="n"/>
      <c r="E893" s="2" t="n"/>
      <c r="G893" s="1" t="n"/>
      <c r="H893" s="3" t="n"/>
      <c r="I893" s="3" t="n"/>
      <c r="J893" s="3" t="n"/>
      <c r="AF893" s="1" t="n"/>
    </row>
    <row r="894" ht="14.25" customHeight="1" s="101">
      <c r="A894" s="1" t="n"/>
      <c r="D894" s="2" t="n"/>
      <c r="E894" s="2" t="n"/>
      <c r="G894" s="1" t="n"/>
      <c r="H894" s="3" t="n"/>
      <c r="I894" s="3" t="n"/>
      <c r="J894" s="3" t="n"/>
      <c r="AF894" s="1" t="n"/>
    </row>
    <row r="895" ht="14.25" customHeight="1" s="101">
      <c r="A895" s="1" t="n"/>
      <c r="D895" s="2" t="n"/>
      <c r="E895" s="2" t="n"/>
      <c r="G895" s="1" t="n"/>
      <c r="H895" s="3" t="n"/>
      <c r="I895" s="3" t="n"/>
      <c r="J895" s="3" t="n"/>
      <c r="AF895" s="1" t="n"/>
    </row>
    <row r="896" ht="14.25" customHeight="1" s="101">
      <c r="A896" s="1" t="n"/>
      <c r="D896" s="2" t="n"/>
      <c r="E896" s="2" t="n"/>
      <c r="G896" s="1" t="n"/>
      <c r="H896" s="3" t="n"/>
      <c r="I896" s="3" t="n"/>
      <c r="J896" s="3" t="n"/>
      <c r="AF896" s="1" t="n"/>
    </row>
    <row r="897" ht="14.25" customHeight="1" s="101">
      <c r="A897" s="1" t="n"/>
      <c r="D897" s="2" t="n"/>
      <c r="E897" s="2" t="n"/>
      <c r="G897" s="1" t="n"/>
      <c r="H897" s="3" t="n"/>
      <c r="I897" s="3" t="n"/>
      <c r="J897" s="3" t="n"/>
      <c r="AF897" s="1" t="n"/>
    </row>
    <row r="898" ht="14.25" customHeight="1" s="101">
      <c r="A898" s="1" t="n"/>
      <c r="D898" s="2" t="n"/>
      <c r="E898" s="2" t="n"/>
      <c r="G898" s="1" t="n"/>
      <c r="H898" s="3" t="n"/>
      <c r="I898" s="3" t="n"/>
      <c r="J898" s="3" t="n"/>
      <c r="AF898" s="1" t="n"/>
    </row>
    <row r="899" ht="14.25" customHeight="1" s="101">
      <c r="A899" s="1" t="n"/>
      <c r="D899" s="2" t="n"/>
      <c r="E899" s="2" t="n"/>
      <c r="G899" s="1" t="n"/>
      <c r="H899" s="3" t="n"/>
      <c r="I899" s="3" t="n"/>
      <c r="J899" s="3" t="n"/>
      <c r="AF899" s="1" t="n"/>
    </row>
    <row r="900" ht="14.25" customHeight="1" s="101">
      <c r="A900" s="1" t="n"/>
      <c r="D900" s="2" t="n"/>
      <c r="E900" s="2" t="n"/>
      <c r="G900" s="1" t="n"/>
      <c r="H900" s="3" t="n"/>
      <c r="I900" s="3" t="n"/>
      <c r="J900" s="3" t="n"/>
      <c r="AF900" s="1" t="n"/>
    </row>
    <row r="901" ht="14.25" customHeight="1" s="101">
      <c r="A901" s="1" t="n"/>
      <c r="D901" s="2" t="n"/>
      <c r="E901" s="2" t="n"/>
      <c r="G901" s="1" t="n"/>
      <c r="H901" s="3" t="n"/>
      <c r="I901" s="3" t="n"/>
      <c r="J901" s="3" t="n"/>
      <c r="AF901" s="1" t="n"/>
    </row>
    <row r="902" ht="14.25" customHeight="1" s="101">
      <c r="A902" s="1" t="n"/>
      <c r="D902" s="2" t="n"/>
      <c r="E902" s="2" t="n"/>
      <c r="G902" s="1" t="n"/>
      <c r="H902" s="3" t="n"/>
      <c r="I902" s="3" t="n"/>
      <c r="J902" s="3" t="n"/>
      <c r="AF902" s="1" t="n"/>
    </row>
    <row r="903" ht="14.25" customHeight="1" s="101">
      <c r="A903" s="1" t="n"/>
      <c r="D903" s="2" t="n"/>
      <c r="E903" s="2" t="n"/>
      <c r="G903" s="1" t="n"/>
      <c r="H903" s="3" t="n"/>
      <c r="I903" s="3" t="n"/>
      <c r="J903" s="3" t="n"/>
      <c r="AF903" s="1" t="n"/>
    </row>
    <row r="904" ht="14.25" customHeight="1" s="101">
      <c r="A904" s="1" t="n"/>
      <c r="D904" s="2" t="n"/>
      <c r="E904" s="2" t="n"/>
      <c r="G904" s="1" t="n"/>
      <c r="H904" s="3" t="n"/>
      <c r="I904" s="3" t="n"/>
      <c r="J904" s="3" t="n"/>
      <c r="AF904" s="1" t="n"/>
    </row>
    <row r="905" ht="14.25" customHeight="1" s="101">
      <c r="A905" s="1" t="n"/>
      <c r="D905" s="2" t="n"/>
      <c r="E905" s="2" t="n"/>
      <c r="G905" s="1" t="n"/>
      <c r="H905" s="3" t="n"/>
      <c r="I905" s="3" t="n"/>
      <c r="J905" s="3" t="n"/>
      <c r="AF905" s="1" t="n"/>
    </row>
    <row r="906" ht="14.25" customHeight="1" s="101">
      <c r="A906" s="1" t="n"/>
      <c r="D906" s="2" t="n"/>
      <c r="E906" s="2" t="n"/>
      <c r="G906" s="1" t="n"/>
      <c r="H906" s="3" t="n"/>
      <c r="I906" s="3" t="n"/>
      <c r="J906" s="3" t="n"/>
      <c r="AF906" s="1" t="n"/>
    </row>
    <row r="907" ht="14.25" customHeight="1" s="101">
      <c r="A907" s="1" t="n"/>
      <c r="D907" s="2" t="n"/>
      <c r="E907" s="2" t="n"/>
      <c r="G907" s="1" t="n"/>
      <c r="H907" s="3" t="n"/>
      <c r="I907" s="3" t="n"/>
      <c r="J907" s="3" t="n"/>
      <c r="AF907" s="1" t="n"/>
    </row>
    <row r="908" ht="14.25" customHeight="1" s="101">
      <c r="A908" s="1" t="n"/>
      <c r="D908" s="2" t="n"/>
      <c r="E908" s="2" t="n"/>
      <c r="G908" s="1" t="n"/>
      <c r="H908" s="3" t="n"/>
      <c r="I908" s="3" t="n"/>
      <c r="J908" s="3" t="n"/>
      <c r="AF908" s="1" t="n"/>
    </row>
    <row r="909" ht="14.25" customHeight="1" s="101">
      <c r="A909" s="1" t="n"/>
      <c r="D909" s="2" t="n"/>
      <c r="E909" s="2" t="n"/>
      <c r="G909" s="1" t="n"/>
      <c r="H909" s="3" t="n"/>
      <c r="I909" s="3" t="n"/>
      <c r="J909" s="3" t="n"/>
      <c r="AF909" s="1" t="n"/>
    </row>
    <row r="910" ht="14.25" customHeight="1" s="101">
      <c r="A910" s="1" t="n"/>
      <c r="D910" s="2" t="n"/>
      <c r="E910" s="2" t="n"/>
      <c r="G910" s="1" t="n"/>
      <c r="H910" s="3" t="n"/>
      <c r="I910" s="3" t="n"/>
      <c r="J910" s="3" t="n"/>
      <c r="AF910" s="1" t="n"/>
    </row>
    <row r="911" ht="14.25" customHeight="1" s="101">
      <c r="A911" s="1" t="n"/>
      <c r="D911" s="2" t="n"/>
      <c r="E911" s="2" t="n"/>
      <c r="G911" s="1" t="n"/>
      <c r="H911" s="3" t="n"/>
      <c r="I911" s="3" t="n"/>
      <c r="J911" s="3" t="n"/>
      <c r="AF911" s="1" t="n"/>
    </row>
    <row r="912" ht="14.25" customHeight="1" s="101">
      <c r="A912" s="1" t="n"/>
      <c r="D912" s="2" t="n"/>
      <c r="E912" s="2" t="n"/>
      <c r="G912" s="1" t="n"/>
      <c r="H912" s="3" t="n"/>
      <c r="I912" s="3" t="n"/>
      <c r="J912" s="3" t="n"/>
      <c r="AF912" s="1" t="n"/>
    </row>
    <row r="913" ht="14.25" customHeight="1" s="101">
      <c r="A913" s="1" t="n"/>
      <c r="D913" s="2" t="n"/>
      <c r="E913" s="2" t="n"/>
      <c r="G913" s="1" t="n"/>
      <c r="H913" s="3" t="n"/>
      <c r="I913" s="3" t="n"/>
      <c r="J913" s="3" t="n"/>
      <c r="AF913" s="1" t="n"/>
    </row>
    <row r="914" ht="14.25" customHeight="1" s="101">
      <c r="A914" s="1" t="n"/>
      <c r="D914" s="2" t="n"/>
      <c r="E914" s="2" t="n"/>
      <c r="G914" s="1" t="n"/>
      <c r="H914" s="3" t="n"/>
      <c r="I914" s="3" t="n"/>
      <c r="J914" s="3" t="n"/>
      <c r="AF914" s="1" t="n"/>
    </row>
    <row r="915" ht="14.25" customHeight="1" s="101">
      <c r="A915" s="1" t="n"/>
      <c r="D915" s="2" t="n"/>
      <c r="E915" s="2" t="n"/>
      <c r="G915" s="1" t="n"/>
      <c r="H915" s="3" t="n"/>
      <c r="I915" s="3" t="n"/>
      <c r="J915" s="3" t="n"/>
      <c r="AF915" s="1" t="n"/>
    </row>
    <row r="916" ht="14.25" customHeight="1" s="101">
      <c r="A916" s="1" t="n"/>
      <c r="D916" s="2" t="n"/>
      <c r="E916" s="2" t="n"/>
      <c r="G916" s="1" t="n"/>
      <c r="H916" s="3" t="n"/>
      <c r="I916" s="3" t="n"/>
      <c r="J916" s="3" t="n"/>
      <c r="AF916" s="1" t="n"/>
    </row>
    <row r="917" ht="14.25" customHeight="1" s="101">
      <c r="A917" s="1" t="n"/>
      <c r="D917" s="2" t="n"/>
      <c r="E917" s="2" t="n"/>
      <c r="G917" s="1" t="n"/>
      <c r="H917" s="3" t="n"/>
      <c r="I917" s="3" t="n"/>
      <c r="J917" s="3" t="n"/>
      <c r="AF917" s="1" t="n"/>
    </row>
    <row r="918" ht="14.25" customHeight="1" s="101">
      <c r="A918" s="1" t="n"/>
      <c r="D918" s="2" t="n"/>
      <c r="E918" s="2" t="n"/>
      <c r="G918" s="1" t="n"/>
      <c r="H918" s="3" t="n"/>
      <c r="I918" s="3" t="n"/>
      <c r="J918" s="3" t="n"/>
      <c r="AF918" s="1" t="n"/>
    </row>
    <row r="919" ht="14.25" customHeight="1" s="101">
      <c r="A919" s="1" t="n"/>
      <c r="D919" s="2" t="n"/>
      <c r="E919" s="2" t="n"/>
      <c r="G919" s="1" t="n"/>
      <c r="H919" s="3" t="n"/>
      <c r="I919" s="3" t="n"/>
      <c r="J919" s="3" t="n"/>
      <c r="AF919" s="1" t="n"/>
    </row>
    <row r="920" ht="14.25" customHeight="1" s="101">
      <c r="A920" s="1" t="n"/>
      <c r="D920" s="2" t="n"/>
      <c r="E920" s="2" t="n"/>
      <c r="G920" s="1" t="n"/>
      <c r="H920" s="3" t="n"/>
      <c r="I920" s="3" t="n"/>
      <c r="J920" s="3" t="n"/>
      <c r="AF920" s="1" t="n"/>
    </row>
    <row r="921" ht="14.25" customHeight="1" s="101">
      <c r="A921" s="1" t="n"/>
      <c r="D921" s="2" t="n"/>
      <c r="E921" s="2" t="n"/>
      <c r="G921" s="1" t="n"/>
      <c r="H921" s="3" t="n"/>
      <c r="I921" s="3" t="n"/>
      <c r="J921" s="3" t="n"/>
      <c r="AF921" s="1" t="n"/>
    </row>
    <row r="922" ht="14.25" customHeight="1" s="101">
      <c r="A922" s="1" t="n"/>
      <c r="D922" s="2" t="n"/>
      <c r="E922" s="2" t="n"/>
      <c r="G922" s="1" t="n"/>
      <c r="H922" s="3" t="n"/>
      <c r="I922" s="3" t="n"/>
      <c r="J922" s="3" t="n"/>
      <c r="AF922" s="1" t="n"/>
    </row>
    <row r="923" ht="14.25" customHeight="1" s="101">
      <c r="A923" s="1" t="n"/>
      <c r="D923" s="2" t="n"/>
      <c r="E923" s="2" t="n"/>
      <c r="G923" s="1" t="n"/>
      <c r="H923" s="3" t="n"/>
      <c r="I923" s="3" t="n"/>
      <c r="J923" s="3" t="n"/>
      <c r="AF923" s="1" t="n"/>
    </row>
    <row r="924" ht="14.25" customHeight="1" s="101">
      <c r="A924" s="1" t="n"/>
      <c r="D924" s="2" t="n"/>
      <c r="E924" s="2" t="n"/>
      <c r="G924" s="1" t="n"/>
      <c r="H924" s="3" t="n"/>
      <c r="I924" s="3" t="n"/>
      <c r="J924" s="3" t="n"/>
      <c r="AF924" s="1" t="n"/>
    </row>
    <row r="925" ht="14.25" customHeight="1" s="101">
      <c r="A925" s="1" t="n"/>
      <c r="D925" s="2" t="n"/>
      <c r="E925" s="2" t="n"/>
      <c r="G925" s="1" t="n"/>
      <c r="H925" s="3" t="n"/>
      <c r="I925" s="3" t="n"/>
      <c r="J925" s="3" t="n"/>
      <c r="AF925" s="1" t="n"/>
    </row>
    <row r="926" ht="14.25" customHeight="1" s="101">
      <c r="A926" s="1" t="n"/>
      <c r="D926" s="2" t="n"/>
      <c r="E926" s="2" t="n"/>
      <c r="G926" s="1" t="n"/>
      <c r="H926" s="3" t="n"/>
      <c r="I926" s="3" t="n"/>
      <c r="J926" s="3" t="n"/>
      <c r="AF926" s="1" t="n"/>
    </row>
    <row r="927" ht="14.25" customHeight="1" s="101">
      <c r="A927" s="1" t="n"/>
      <c r="D927" s="2" t="n"/>
      <c r="E927" s="2" t="n"/>
      <c r="G927" s="1" t="n"/>
      <c r="H927" s="3" t="n"/>
      <c r="I927" s="3" t="n"/>
      <c r="J927" s="3" t="n"/>
      <c r="AF927" s="1" t="n"/>
    </row>
    <row r="928" ht="14.25" customHeight="1" s="101">
      <c r="A928" s="1" t="n"/>
      <c r="D928" s="2" t="n"/>
      <c r="E928" s="2" t="n"/>
      <c r="G928" s="1" t="n"/>
      <c r="H928" s="3" t="n"/>
      <c r="I928" s="3" t="n"/>
      <c r="J928" s="3" t="n"/>
      <c r="AF928" s="1" t="n"/>
    </row>
    <row r="929" ht="14.25" customHeight="1" s="101">
      <c r="A929" s="1" t="n"/>
      <c r="D929" s="2" t="n"/>
      <c r="E929" s="2" t="n"/>
      <c r="G929" s="1" t="n"/>
      <c r="H929" s="3" t="n"/>
      <c r="I929" s="3" t="n"/>
      <c r="J929" s="3" t="n"/>
      <c r="AF929" s="1" t="n"/>
    </row>
    <row r="930" ht="14.25" customHeight="1" s="101">
      <c r="A930" s="1" t="n"/>
      <c r="D930" s="2" t="n"/>
      <c r="E930" s="2" t="n"/>
      <c r="G930" s="1" t="n"/>
      <c r="H930" s="3" t="n"/>
      <c r="I930" s="3" t="n"/>
      <c r="J930" s="3" t="n"/>
      <c r="AF930" s="1" t="n"/>
    </row>
    <row r="931" ht="14.25" customHeight="1" s="101">
      <c r="A931" s="1" t="n"/>
      <c r="D931" s="2" t="n"/>
      <c r="E931" s="2" t="n"/>
      <c r="G931" s="1" t="n"/>
      <c r="H931" s="3" t="n"/>
      <c r="I931" s="3" t="n"/>
      <c r="J931" s="3" t="n"/>
      <c r="AF931" s="1" t="n"/>
    </row>
    <row r="932" ht="14.25" customHeight="1" s="101">
      <c r="A932" s="1" t="n"/>
      <c r="D932" s="2" t="n"/>
      <c r="E932" s="2" t="n"/>
      <c r="G932" s="1" t="n"/>
      <c r="H932" s="3" t="n"/>
      <c r="I932" s="3" t="n"/>
      <c r="J932" s="3" t="n"/>
      <c r="AF932" s="1" t="n"/>
    </row>
    <row r="933" ht="14.25" customHeight="1" s="101">
      <c r="A933" s="1" t="n"/>
      <c r="D933" s="2" t="n"/>
      <c r="E933" s="2" t="n"/>
      <c r="G933" s="1" t="n"/>
      <c r="H933" s="3" t="n"/>
      <c r="I933" s="3" t="n"/>
      <c r="J933" s="3" t="n"/>
      <c r="AF933" s="1" t="n"/>
    </row>
    <row r="934" ht="14.25" customHeight="1" s="101">
      <c r="A934" s="1" t="n"/>
      <c r="D934" s="2" t="n"/>
      <c r="E934" s="2" t="n"/>
      <c r="G934" s="1" t="n"/>
      <c r="H934" s="3" t="n"/>
      <c r="I934" s="3" t="n"/>
      <c r="J934" s="3" t="n"/>
      <c r="AF934" s="1" t="n"/>
    </row>
    <row r="935" ht="14.25" customHeight="1" s="101">
      <c r="A935" s="1" t="n"/>
      <c r="D935" s="2" t="n"/>
      <c r="E935" s="2" t="n"/>
      <c r="G935" s="1" t="n"/>
      <c r="H935" s="3" t="n"/>
      <c r="I935" s="3" t="n"/>
      <c r="J935" s="3" t="n"/>
      <c r="AF935" s="1" t="n"/>
    </row>
    <row r="936" ht="14.25" customHeight="1" s="101">
      <c r="A936" s="1" t="n"/>
      <c r="D936" s="2" t="n"/>
      <c r="E936" s="2" t="n"/>
      <c r="G936" s="1" t="n"/>
      <c r="H936" s="3" t="n"/>
      <c r="I936" s="3" t="n"/>
      <c r="J936" s="3" t="n"/>
      <c r="AF936" s="1" t="n"/>
    </row>
    <row r="937" ht="14.25" customHeight="1" s="101">
      <c r="A937" s="1" t="n"/>
      <c r="D937" s="2" t="n"/>
      <c r="E937" s="2" t="n"/>
      <c r="G937" s="1" t="n"/>
      <c r="H937" s="3" t="n"/>
      <c r="I937" s="3" t="n"/>
      <c r="J937" s="3" t="n"/>
      <c r="AF937" s="1" t="n"/>
    </row>
    <row r="938" ht="14.25" customHeight="1" s="101">
      <c r="A938" s="1" t="n"/>
      <c r="D938" s="2" t="n"/>
      <c r="E938" s="2" t="n"/>
      <c r="G938" s="1" t="n"/>
      <c r="H938" s="3" t="n"/>
      <c r="I938" s="3" t="n"/>
      <c r="J938" s="3" t="n"/>
      <c r="AF938" s="1" t="n"/>
    </row>
    <row r="939" ht="14.25" customHeight="1" s="101">
      <c r="A939" s="1" t="n"/>
      <c r="D939" s="2" t="n"/>
      <c r="E939" s="2" t="n"/>
      <c r="G939" s="1" t="n"/>
      <c r="H939" s="3" t="n"/>
      <c r="I939" s="3" t="n"/>
      <c r="J939" s="3" t="n"/>
      <c r="AF939" s="1" t="n"/>
    </row>
    <row r="940" ht="14.25" customHeight="1" s="101">
      <c r="A940" s="1" t="n"/>
      <c r="D940" s="2" t="n"/>
      <c r="E940" s="2" t="n"/>
      <c r="G940" s="1" t="n"/>
      <c r="H940" s="3" t="n"/>
      <c r="I940" s="3" t="n"/>
      <c r="J940" s="3" t="n"/>
      <c r="AF940" s="1" t="n"/>
    </row>
    <row r="941" ht="14.25" customHeight="1" s="101">
      <c r="A941" s="1" t="n"/>
      <c r="D941" s="2" t="n"/>
      <c r="E941" s="2" t="n"/>
      <c r="G941" s="1" t="n"/>
      <c r="H941" s="3" t="n"/>
      <c r="I941" s="3" t="n"/>
      <c r="J941" s="3" t="n"/>
      <c r="AF941" s="1" t="n"/>
    </row>
    <row r="942" ht="14.25" customHeight="1" s="101">
      <c r="A942" s="1" t="n"/>
      <c r="D942" s="2" t="n"/>
      <c r="E942" s="2" t="n"/>
      <c r="G942" s="1" t="n"/>
      <c r="H942" s="3" t="n"/>
      <c r="I942" s="3" t="n"/>
      <c r="J942" s="3" t="n"/>
      <c r="AF942" s="1" t="n"/>
    </row>
    <row r="943" ht="14.25" customHeight="1" s="101">
      <c r="A943" s="1" t="n"/>
      <c r="D943" s="2" t="n"/>
      <c r="E943" s="2" t="n"/>
      <c r="G943" s="1" t="n"/>
      <c r="H943" s="3" t="n"/>
      <c r="I943" s="3" t="n"/>
      <c r="J943" s="3" t="n"/>
      <c r="AF943" s="1" t="n"/>
    </row>
    <row r="944" ht="14.25" customHeight="1" s="101">
      <c r="A944" s="1" t="n"/>
      <c r="D944" s="2" t="n"/>
      <c r="E944" s="2" t="n"/>
      <c r="G944" s="1" t="n"/>
      <c r="H944" s="3" t="n"/>
      <c r="I944" s="3" t="n"/>
      <c r="J944" s="3" t="n"/>
      <c r="AF944" s="1" t="n"/>
    </row>
    <row r="945" ht="14.25" customHeight="1" s="101">
      <c r="A945" s="1" t="n"/>
      <c r="D945" s="2" t="n"/>
      <c r="E945" s="2" t="n"/>
      <c r="G945" s="1" t="n"/>
      <c r="H945" s="3" t="n"/>
      <c r="I945" s="3" t="n"/>
      <c r="J945" s="3" t="n"/>
      <c r="AF945" s="1" t="n"/>
    </row>
    <row r="946" ht="14.25" customHeight="1" s="101">
      <c r="A946" s="1" t="n"/>
      <c r="D946" s="2" t="n"/>
      <c r="E946" s="2" t="n"/>
      <c r="G946" s="1" t="n"/>
      <c r="H946" s="3" t="n"/>
      <c r="I946" s="3" t="n"/>
      <c r="J946" s="3" t="n"/>
      <c r="AF946" s="1" t="n"/>
    </row>
    <row r="947" ht="14.25" customHeight="1" s="101">
      <c r="A947" s="1" t="n"/>
      <c r="D947" s="2" t="n"/>
      <c r="E947" s="2" t="n"/>
      <c r="G947" s="1" t="n"/>
      <c r="H947" s="3" t="n"/>
      <c r="I947" s="3" t="n"/>
      <c r="J947" s="3" t="n"/>
      <c r="AF947" s="1" t="n"/>
    </row>
    <row r="948" ht="14.25" customHeight="1" s="101">
      <c r="A948" s="1" t="n"/>
      <c r="D948" s="2" t="n"/>
      <c r="E948" s="2" t="n"/>
      <c r="G948" s="1" t="n"/>
      <c r="H948" s="3" t="n"/>
      <c r="I948" s="3" t="n"/>
      <c r="J948" s="3" t="n"/>
      <c r="AF948" s="1" t="n"/>
    </row>
    <row r="949" ht="14.25" customHeight="1" s="101">
      <c r="A949" s="1" t="n"/>
      <c r="D949" s="2" t="n"/>
      <c r="E949" s="2" t="n"/>
      <c r="G949" s="1" t="n"/>
      <c r="H949" s="3" t="n"/>
      <c r="I949" s="3" t="n"/>
      <c r="J949" s="3" t="n"/>
      <c r="AF949" s="1" t="n"/>
    </row>
    <row r="950" ht="14.25" customHeight="1" s="101">
      <c r="A950" s="1" t="n"/>
      <c r="D950" s="2" t="n"/>
      <c r="E950" s="2" t="n"/>
      <c r="G950" s="1" t="n"/>
      <c r="H950" s="3" t="n"/>
      <c r="I950" s="3" t="n"/>
      <c r="J950" s="3" t="n"/>
      <c r="AF950" s="1" t="n"/>
    </row>
    <row r="951" ht="14.25" customHeight="1" s="101">
      <c r="A951" s="1" t="n"/>
      <c r="D951" s="2" t="n"/>
      <c r="E951" s="2" t="n"/>
      <c r="G951" s="1" t="n"/>
      <c r="H951" s="3" t="n"/>
      <c r="I951" s="3" t="n"/>
      <c r="J951" s="3" t="n"/>
      <c r="AF951" s="1" t="n"/>
    </row>
    <row r="952" ht="14.25" customHeight="1" s="101">
      <c r="A952" s="1" t="n"/>
      <c r="D952" s="2" t="n"/>
      <c r="E952" s="2" t="n"/>
      <c r="G952" s="1" t="n"/>
      <c r="H952" s="3" t="n"/>
      <c r="I952" s="3" t="n"/>
      <c r="J952" s="3" t="n"/>
      <c r="AF952" s="1" t="n"/>
    </row>
    <row r="953" ht="14.25" customHeight="1" s="101">
      <c r="A953" s="1" t="n"/>
      <c r="D953" s="2" t="n"/>
      <c r="E953" s="2" t="n"/>
      <c r="G953" s="1" t="n"/>
      <c r="H953" s="3" t="n"/>
      <c r="I953" s="3" t="n"/>
      <c r="J953" s="3" t="n"/>
      <c r="AF953" s="1" t="n"/>
    </row>
    <row r="954" ht="14.25" customHeight="1" s="101">
      <c r="A954" s="1" t="n"/>
      <c r="D954" s="2" t="n"/>
      <c r="E954" s="2" t="n"/>
      <c r="G954" s="1" t="n"/>
      <c r="H954" s="3" t="n"/>
      <c r="I954" s="3" t="n"/>
      <c r="J954" s="3" t="n"/>
      <c r="AF954" s="1" t="n"/>
    </row>
    <row r="955" ht="14.25" customHeight="1" s="101">
      <c r="A955" s="1" t="n"/>
      <c r="D955" s="2" t="n"/>
      <c r="E955" s="2" t="n"/>
      <c r="G955" s="1" t="n"/>
      <c r="H955" s="3" t="n"/>
      <c r="I955" s="3" t="n"/>
      <c r="J955" s="3" t="n"/>
      <c r="AF955" s="1" t="n"/>
    </row>
    <row r="956" ht="14.25" customHeight="1" s="101">
      <c r="A956" s="1" t="n"/>
      <c r="D956" s="2" t="n"/>
      <c r="E956" s="2" t="n"/>
      <c r="G956" s="1" t="n"/>
      <c r="H956" s="3" t="n"/>
      <c r="I956" s="3" t="n"/>
      <c r="J956" s="3" t="n"/>
      <c r="AF956" s="1" t="n"/>
    </row>
    <row r="957" ht="14.25" customHeight="1" s="101">
      <c r="A957" s="1" t="n"/>
      <c r="D957" s="2" t="n"/>
      <c r="E957" s="2" t="n"/>
      <c r="G957" s="1" t="n"/>
      <c r="H957" s="3" t="n"/>
      <c r="I957" s="3" t="n"/>
      <c r="J957" s="3" t="n"/>
      <c r="AF957" s="1" t="n"/>
    </row>
    <row r="958" ht="14.25" customHeight="1" s="101">
      <c r="A958" s="1" t="n"/>
      <c r="D958" s="2" t="n"/>
      <c r="E958" s="2" t="n"/>
      <c r="G958" s="1" t="n"/>
      <c r="H958" s="3" t="n"/>
      <c r="I958" s="3" t="n"/>
      <c r="J958" s="3" t="n"/>
      <c r="AF958" s="1" t="n"/>
    </row>
    <row r="959" ht="14.25" customHeight="1" s="101">
      <c r="A959" s="1" t="n"/>
      <c r="D959" s="2" t="n"/>
      <c r="E959" s="2" t="n"/>
      <c r="G959" s="1" t="n"/>
      <c r="H959" s="3" t="n"/>
      <c r="I959" s="3" t="n"/>
      <c r="J959" s="3" t="n"/>
      <c r="AF959" s="1" t="n"/>
    </row>
    <row r="960" ht="14.25" customHeight="1" s="101">
      <c r="A960" s="1" t="n"/>
      <c r="D960" s="2" t="n"/>
      <c r="E960" s="2" t="n"/>
      <c r="G960" s="1" t="n"/>
      <c r="H960" s="3" t="n"/>
      <c r="I960" s="3" t="n"/>
      <c r="J960" s="3" t="n"/>
      <c r="AF960" s="1" t="n"/>
    </row>
    <row r="961" ht="14.25" customHeight="1" s="101">
      <c r="A961" s="1" t="n"/>
      <c r="D961" s="2" t="n"/>
      <c r="E961" s="2" t="n"/>
      <c r="G961" s="1" t="n"/>
      <c r="H961" s="3" t="n"/>
      <c r="I961" s="3" t="n"/>
      <c r="J961" s="3" t="n"/>
      <c r="AF961" s="1" t="n"/>
    </row>
    <row r="962" ht="14.25" customHeight="1" s="101">
      <c r="A962" s="1" t="n"/>
      <c r="D962" s="2" t="n"/>
      <c r="E962" s="2" t="n"/>
      <c r="G962" s="1" t="n"/>
      <c r="H962" s="3" t="n"/>
      <c r="I962" s="3" t="n"/>
      <c r="J962" s="3" t="n"/>
      <c r="AF962" s="1" t="n"/>
    </row>
    <row r="963" ht="14.25" customHeight="1" s="101">
      <c r="A963" s="1" t="n"/>
      <c r="D963" s="2" t="n"/>
      <c r="E963" s="2" t="n"/>
      <c r="G963" s="1" t="n"/>
      <c r="H963" s="3" t="n"/>
      <c r="I963" s="3" t="n"/>
      <c r="J963" s="3" t="n"/>
      <c r="AF963" s="1" t="n"/>
    </row>
    <row r="964" ht="14.25" customHeight="1" s="101">
      <c r="A964" s="1" t="n"/>
      <c r="D964" s="2" t="n"/>
      <c r="E964" s="2" t="n"/>
      <c r="G964" s="1" t="n"/>
      <c r="H964" s="3" t="n"/>
      <c r="I964" s="3" t="n"/>
      <c r="J964" s="3" t="n"/>
      <c r="AF964" s="1" t="n"/>
    </row>
    <row r="965" ht="14.25" customHeight="1" s="101">
      <c r="A965" s="1" t="n"/>
      <c r="D965" s="2" t="n"/>
      <c r="E965" s="2" t="n"/>
      <c r="G965" s="1" t="n"/>
      <c r="H965" s="3" t="n"/>
      <c r="I965" s="3" t="n"/>
      <c r="J965" s="3" t="n"/>
      <c r="AF965" s="1" t="n"/>
    </row>
    <row r="966" ht="14.25" customHeight="1" s="101">
      <c r="A966" s="1" t="n"/>
      <c r="D966" s="2" t="n"/>
      <c r="E966" s="2" t="n"/>
      <c r="G966" s="1" t="n"/>
      <c r="H966" s="3" t="n"/>
      <c r="I966" s="3" t="n"/>
      <c r="J966" s="3" t="n"/>
      <c r="AF966" s="1" t="n"/>
    </row>
    <row r="967" ht="14.25" customHeight="1" s="101">
      <c r="A967" s="1" t="n"/>
      <c r="D967" s="2" t="n"/>
      <c r="E967" s="2" t="n"/>
      <c r="G967" s="1" t="n"/>
      <c r="H967" s="3" t="n"/>
      <c r="I967" s="3" t="n"/>
      <c r="J967" s="3" t="n"/>
      <c r="AF967" s="1" t="n"/>
    </row>
    <row r="968" ht="14.25" customHeight="1" s="101">
      <c r="A968" s="1" t="n"/>
      <c r="D968" s="2" t="n"/>
      <c r="E968" s="2" t="n"/>
      <c r="G968" s="1" t="n"/>
      <c r="H968" s="3" t="n"/>
      <c r="I968" s="3" t="n"/>
      <c r="J968" s="3" t="n"/>
      <c r="AF968" s="1" t="n"/>
    </row>
    <row r="969" ht="14.25" customHeight="1" s="101">
      <c r="A969" s="1" t="n"/>
      <c r="D969" s="2" t="n"/>
      <c r="E969" s="2" t="n"/>
      <c r="G969" s="1" t="n"/>
      <c r="H969" s="3" t="n"/>
      <c r="I969" s="3" t="n"/>
      <c r="J969" s="3" t="n"/>
      <c r="AF969" s="1" t="n"/>
    </row>
    <row r="970" ht="14.25" customHeight="1" s="101">
      <c r="A970" s="1" t="n"/>
      <c r="D970" s="2" t="n"/>
      <c r="E970" s="2" t="n"/>
      <c r="G970" s="1" t="n"/>
      <c r="H970" s="3" t="n"/>
      <c r="I970" s="3" t="n"/>
      <c r="J970" s="3" t="n"/>
      <c r="AF970" s="1" t="n"/>
    </row>
    <row r="971" ht="14.25" customHeight="1" s="101">
      <c r="A971" s="1" t="n"/>
      <c r="D971" s="2" t="n"/>
      <c r="E971" s="2" t="n"/>
      <c r="G971" s="1" t="n"/>
      <c r="H971" s="3" t="n"/>
      <c r="I971" s="3" t="n"/>
      <c r="J971" s="3" t="n"/>
      <c r="AF971" s="1" t="n"/>
    </row>
    <row r="972" ht="14.25" customHeight="1" s="101">
      <c r="A972" s="1" t="n"/>
      <c r="D972" s="2" t="n"/>
      <c r="E972" s="2" t="n"/>
      <c r="G972" s="1" t="n"/>
      <c r="H972" s="3" t="n"/>
      <c r="I972" s="3" t="n"/>
      <c r="J972" s="3" t="n"/>
      <c r="AF972" s="1" t="n"/>
    </row>
    <row r="973" ht="14.25" customHeight="1" s="101">
      <c r="A973" s="1" t="n"/>
      <c r="D973" s="2" t="n"/>
      <c r="E973" s="2" t="n"/>
      <c r="G973" s="1" t="n"/>
      <c r="H973" s="3" t="n"/>
      <c r="I973" s="3" t="n"/>
      <c r="J973" s="3" t="n"/>
      <c r="AF973" s="1" t="n"/>
    </row>
    <row r="974" ht="14.25" customHeight="1" s="101">
      <c r="A974" s="1" t="n"/>
      <c r="D974" s="2" t="n"/>
      <c r="E974" s="2" t="n"/>
      <c r="G974" s="1" t="n"/>
      <c r="H974" s="3" t="n"/>
      <c r="I974" s="3" t="n"/>
      <c r="J974" s="3" t="n"/>
      <c r="AF974" s="1" t="n"/>
    </row>
    <row r="975" ht="14.25" customHeight="1" s="101">
      <c r="A975" s="1" t="n"/>
      <c r="D975" s="2" t="n"/>
      <c r="E975" s="2" t="n"/>
      <c r="G975" s="1" t="n"/>
      <c r="H975" s="3" t="n"/>
      <c r="I975" s="3" t="n"/>
      <c r="J975" s="3" t="n"/>
      <c r="AF975" s="1" t="n"/>
    </row>
    <row r="976" ht="14.25" customHeight="1" s="101">
      <c r="A976" s="1" t="n"/>
      <c r="D976" s="2" t="n"/>
      <c r="E976" s="2" t="n"/>
      <c r="G976" s="1" t="n"/>
      <c r="H976" s="3" t="n"/>
      <c r="I976" s="3" t="n"/>
      <c r="J976" s="3" t="n"/>
      <c r="AF976" s="1" t="n"/>
    </row>
    <row r="977" ht="14.25" customHeight="1" s="101">
      <c r="A977" s="1" t="n"/>
      <c r="D977" s="2" t="n"/>
      <c r="E977" s="2" t="n"/>
      <c r="G977" s="1" t="n"/>
      <c r="H977" s="3" t="n"/>
      <c r="I977" s="3" t="n"/>
      <c r="J977" s="3" t="n"/>
      <c r="AF977" s="1" t="n"/>
    </row>
    <row r="978" ht="14.25" customHeight="1" s="101">
      <c r="A978" s="1" t="n"/>
      <c r="D978" s="2" t="n"/>
      <c r="E978" s="2" t="n"/>
      <c r="G978" s="1" t="n"/>
      <c r="H978" s="3" t="n"/>
      <c r="I978" s="3" t="n"/>
      <c r="J978" s="3" t="n"/>
      <c r="AF978" s="1" t="n"/>
    </row>
    <row r="979" ht="14.25" customHeight="1" s="101">
      <c r="A979" s="1" t="n"/>
      <c r="D979" s="2" t="n"/>
      <c r="E979" s="2" t="n"/>
      <c r="G979" s="1" t="n"/>
      <c r="H979" s="3" t="n"/>
      <c r="I979" s="3" t="n"/>
      <c r="J979" s="3" t="n"/>
      <c r="AF979" s="1" t="n"/>
    </row>
    <row r="980" ht="14.25" customHeight="1" s="101">
      <c r="A980" s="1" t="n"/>
      <c r="D980" s="2" t="n"/>
      <c r="E980" s="2" t="n"/>
      <c r="G980" s="1" t="n"/>
      <c r="H980" s="3" t="n"/>
      <c r="I980" s="3" t="n"/>
      <c r="J980" s="3" t="n"/>
      <c r="AF980" s="1" t="n"/>
    </row>
    <row r="981" ht="14.25" customHeight="1" s="101">
      <c r="A981" s="1" t="n"/>
      <c r="D981" s="2" t="n"/>
      <c r="E981" s="2" t="n"/>
      <c r="G981" s="1" t="n"/>
      <c r="H981" s="3" t="n"/>
      <c r="I981" s="3" t="n"/>
      <c r="J981" s="3" t="n"/>
      <c r="AF981" s="1" t="n"/>
    </row>
    <row r="982" ht="14.25" customHeight="1" s="101">
      <c r="A982" s="1" t="n"/>
      <c r="D982" s="2" t="n"/>
      <c r="E982" s="2" t="n"/>
      <c r="G982" s="1" t="n"/>
      <c r="H982" s="3" t="n"/>
      <c r="I982" s="3" t="n"/>
      <c r="J982" s="3" t="n"/>
      <c r="AF982" s="1" t="n"/>
    </row>
    <row r="983" ht="14.25" customHeight="1" s="101">
      <c r="A983" s="1" t="n"/>
      <c r="D983" s="2" t="n"/>
      <c r="E983" s="2" t="n"/>
      <c r="G983" s="1" t="n"/>
      <c r="H983" s="3" t="n"/>
      <c r="I983" s="3" t="n"/>
      <c r="J983" s="3" t="n"/>
      <c r="AF983" s="1" t="n"/>
    </row>
    <row r="984" ht="14.25" customHeight="1" s="101">
      <c r="A984" s="1" t="n"/>
      <c r="D984" s="2" t="n"/>
      <c r="E984" s="2" t="n"/>
      <c r="G984" s="1" t="n"/>
      <c r="H984" s="3" t="n"/>
      <c r="I984" s="3" t="n"/>
      <c r="J984" s="3" t="n"/>
      <c r="AF984" s="1" t="n"/>
    </row>
    <row r="985" ht="14.25" customHeight="1" s="101">
      <c r="A985" s="1" t="n"/>
      <c r="D985" s="2" t="n"/>
      <c r="E985" s="2" t="n"/>
      <c r="G985" s="1" t="n"/>
      <c r="H985" s="3" t="n"/>
      <c r="I985" s="3" t="n"/>
      <c r="J985" s="3" t="n"/>
      <c r="AF985" s="1" t="n"/>
    </row>
    <row r="986" ht="14.25" customHeight="1" s="101">
      <c r="A986" s="1" t="n"/>
      <c r="D986" s="2" t="n"/>
      <c r="E986" s="2" t="n"/>
      <c r="G986" s="1" t="n"/>
      <c r="H986" s="3" t="n"/>
      <c r="I986" s="3" t="n"/>
      <c r="J986" s="3" t="n"/>
      <c r="AF986" s="1" t="n"/>
    </row>
    <row r="987" ht="14.25" customHeight="1" s="101">
      <c r="A987" s="1" t="n"/>
      <c r="D987" s="2" t="n"/>
      <c r="E987" s="2" t="n"/>
      <c r="G987" s="1" t="n"/>
      <c r="H987" s="3" t="n"/>
      <c r="I987" s="3" t="n"/>
      <c r="J987" s="3" t="n"/>
      <c r="AF987" s="1" t="n"/>
    </row>
    <row r="988" ht="14.25" customHeight="1" s="101">
      <c r="A988" s="1" t="n"/>
      <c r="D988" s="2" t="n"/>
      <c r="E988" s="2" t="n"/>
      <c r="G988" s="1" t="n"/>
      <c r="H988" s="3" t="n"/>
      <c r="I988" s="3" t="n"/>
      <c r="J988" s="3" t="n"/>
      <c r="AF988" s="1" t="n"/>
    </row>
    <row r="989" ht="14.25" customHeight="1" s="101">
      <c r="A989" s="1" t="n"/>
      <c r="D989" s="2" t="n"/>
      <c r="E989" s="2" t="n"/>
      <c r="G989" s="1" t="n"/>
      <c r="H989" s="3" t="n"/>
      <c r="I989" s="3" t="n"/>
      <c r="J989" s="3" t="n"/>
      <c r="AF989" s="1" t="n"/>
    </row>
    <row r="990" ht="14.25" customHeight="1" s="101">
      <c r="A990" s="1" t="n"/>
      <c r="D990" s="2" t="n"/>
      <c r="E990" s="2" t="n"/>
      <c r="G990" s="1" t="n"/>
      <c r="H990" s="3" t="n"/>
      <c r="I990" s="3" t="n"/>
      <c r="J990" s="3" t="n"/>
      <c r="AF990" s="1" t="n"/>
    </row>
    <row r="991" ht="14.25" customHeight="1" s="101">
      <c r="A991" s="1" t="n"/>
      <c r="D991" s="2" t="n"/>
      <c r="E991" s="2" t="n"/>
      <c r="G991" s="1" t="n"/>
      <c r="H991" s="3" t="n"/>
      <c r="I991" s="3" t="n"/>
      <c r="J991" s="3" t="n"/>
      <c r="AF991" s="1" t="n"/>
    </row>
    <row r="992" ht="14.25" customHeight="1" s="101">
      <c r="A992" s="1" t="n"/>
      <c r="D992" s="2" t="n"/>
      <c r="E992" s="2" t="n"/>
      <c r="G992" s="1" t="n"/>
      <c r="H992" s="3" t="n"/>
      <c r="I992" s="3" t="n"/>
      <c r="J992" s="3" t="n"/>
      <c r="AF992" s="1" t="n"/>
    </row>
    <row r="993" ht="14.25" customHeight="1" s="101">
      <c r="A993" s="1" t="n"/>
      <c r="D993" s="2" t="n"/>
      <c r="E993" s="2" t="n"/>
      <c r="G993" s="1" t="n"/>
      <c r="H993" s="3" t="n"/>
      <c r="I993" s="3" t="n"/>
      <c r="J993" s="3" t="n"/>
      <c r="AF993" s="1" t="n"/>
    </row>
    <row r="994" ht="14.25" customHeight="1" s="101">
      <c r="A994" s="1" t="n"/>
      <c r="D994" s="2" t="n"/>
      <c r="E994" s="2" t="n"/>
      <c r="G994" s="1" t="n"/>
      <c r="H994" s="3" t="n"/>
      <c r="I994" s="3" t="n"/>
      <c r="J994" s="3" t="n"/>
      <c r="AF994" s="1" t="n"/>
    </row>
    <row r="995" ht="14.25" customHeight="1" s="101">
      <c r="A995" s="1" t="n"/>
      <c r="D995" s="2" t="n"/>
      <c r="E995" s="2" t="n"/>
      <c r="G995" s="1" t="n"/>
      <c r="H995" s="3" t="n"/>
      <c r="I995" s="3" t="n"/>
      <c r="J995" s="3" t="n"/>
      <c r="AF995" s="1" t="n"/>
    </row>
    <row r="996" ht="14.25" customHeight="1" s="101">
      <c r="A996" s="1" t="n"/>
      <c r="D996" s="2" t="n"/>
      <c r="E996" s="2" t="n"/>
      <c r="G996" s="1" t="n"/>
      <c r="H996" s="3" t="n"/>
      <c r="I996" s="3" t="n"/>
      <c r="J996" s="3" t="n"/>
      <c r="AF996" s="1" t="n"/>
    </row>
    <row r="997" ht="14.25" customHeight="1" s="101">
      <c r="A997" s="1" t="n"/>
      <c r="D997" s="2" t="n"/>
      <c r="E997" s="2" t="n"/>
      <c r="G997" s="1" t="n"/>
      <c r="H997" s="3" t="n"/>
      <c r="I997" s="3" t="n"/>
      <c r="J997" s="3" t="n"/>
      <c r="AF997" s="1" t="n"/>
    </row>
    <row r="998" ht="14.25" customHeight="1" s="101">
      <c r="A998" s="1" t="n"/>
      <c r="D998" s="2" t="n"/>
      <c r="E998" s="2" t="n"/>
      <c r="G998" s="1" t="n"/>
      <c r="H998" s="3" t="n"/>
      <c r="I998" s="3" t="n"/>
      <c r="J998" s="3" t="n"/>
      <c r="AF998" s="1" t="n"/>
    </row>
    <row r="999" ht="14.25" customHeight="1" s="101">
      <c r="A999" s="1" t="n"/>
      <c r="D999" s="2" t="n"/>
      <c r="E999" s="2" t="n"/>
      <c r="G999" s="1" t="n"/>
      <c r="H999" s="3" t="n"/>
      <c r="I999" s="3" t="n"/>
      <c r="J999" s="3" t="n"/>
      <c r="AF999" s="1" t="n"/>
    </row>
    <row r="1000" ht="14.25" customHeight="1" s="101">
      <c r="A1000" s="1" t="n"/>
      <c r="D1000" s="2" t="n"/>
      <c r="E1000" s="2" t="n"/>
      <c r="G1000" s="1" t="n"/>
      <c r="H1000" s="3" t="n"/>
      <c r="I1000" s="3" t="n"/>
      <c r="J1000" s="3" t="n"/>
      <c r="AF1000" s="1" t="n"/>
    </row>
  </sheetData>
  <autoFilter ref="$A$3:$AG$77"/>
  <mergeCells count="135">
    <mergeCell ref="D75:D77"/>
    <mergeCell ref="A57:A59"/>
    <mergeCell ref="H69:H71"/>
    <mergeCell ref="R6:Z6"/>
    <mergeCell ref="B34:B36"/>
    <mergeCell ref="C51:C53"/>
    <mergeCell ref="C48:C50"/>
    <mergeCell ref="AG7:AG9"/>
    <mergeCell ref="A72:A74"/>
    <mergeCell ref="C10:C11"/>
    <mergeCell ref="B45:B47"/>
    <mergeCell ref="C7:C9"/>
    <mergeCell ref="E7:E9"/>
    <mergeCell ref="B13:B14"/>
    <mergeCell ref="O7:P8"/>
    <mergeCell ref="D13:D14"/>
    <mergeCell ref="B7:B9"/>
    <mergeCell ref="B15:B16"/>
    <mergeCell ref="H54:H56"/>
    <mergeCell ref="D15:D16"/>
    <mergeCell ref="B31:B33"/>
    <mergeCell ref="H13:H14"/>
    <mergeCell ref="D31:D33"/>
    <mergeCell ref="B72:B74"/>
    <mergeCell ref="C63:C65"/>
    <mergeCell ref="H15:H16"/>
    <mergeCell ref="B40:B41"/>
    <mergeCell ref="H24:H25"/>
    <mergeCell ref="H31:H33"/>
    <mergeCell ref="D10:D11"/>
    <mergeCell ref="B57:B59"/>
    <mergeCell ref="D57:D59"/>
    <mergeCell ref="H51:H53"/>
    <mergeCell ref="D7:D9"/>
    <mergeCell ref="H60:H62"/>
    <mergeCell ref="A42:A44"/>
    <mergeCell ref="H10:H11"/>
    <mergeCell ref="D40:D41"/>
    <mergeCell ref="H57:H59"/>
    <mergeCell ref="B17:B18"/>
    <mergeCell ref="D17:D18"/>
    <mergeCell ref="D42:D44"/>
    <mergeCell ref="H17:H18"/>
    <mergeCell ref="C69:C71"/>
    <mergeCell ref="H42:H44"/>
    <mergeCell ref="A31:A33"/>
    <mergeCell ref="C40:C41"/>
    <mergeCell ref="H19:H20"/>
    <mergeCell ref="C54:C56"/>
    <mergeCell ref="B75:B77"/>
    <mergeCell ref="D69:D71"/>
    <mergeCell ref="A17:A18"/>
    <mergeCell ref="A51:A53"/>
    <mergeCell ref="C17:C18"/>
    <mergeCell ref="AE7:AE9"/>
    <mergeCell ref="H34:H36"/>
    <mergeCell ref="A60:A62"/>
    <mergeCell ref="A69:A71"/>
    <mergeCell ref="AA6:AD6"/>
    <mergeCell ref="A54:A56"/>
    <mergeCell ref="A10:A11"/>
    <mergeCell ref="A19:A20"/>
    <mergeCell ref="C19:C20"/>
    <mergeCell ref="AA7:AC8"/>
    <mergeCell ref="A7:A9"/>
    <mergeCell ref="H45:H47"/>
    <mergeCell ref="B48:B50"/>
    <mergeCell ref="M7:N8"/>
    <mergeCell ref="D48:D50"/>
    <mergeCell ref="H75:H77"/>
    <mergeCell ref="A63:A65"/>
    <mergeCell ref="AD7:AD9"/>
    <mergeCell ref="H40:H41"/>
    <mergeCell ref="C66:C68"/>
    <mergeCell ref="B51:B53"/>
    <mergeCell ref="A34:A36"/>
    <mergeCell ref="D51:D53"/>
    <mergeCell ref="AF7:AF9"/>
    <mergeCell ref="A28:A30"/>
    <mergeCell ref="B66:B68"/>
    <mergeCell ref="D60:D62"/>
    <mergeCell ref="C28:C30"/>
    <mergeCell ref="C34:C36"/>
    <mergeCell ref="C37:C39"/>
    <mergeCell ref="B63:B65"/>
    <mergeCell ref="A95:D96"/>
    <mergeCell ref="H7:K8"/>
    <mergeCell ref="R7:T8"/>
    <mergeCell ref="A45:A47"/>
    <mergeCell ref="C45:C47"/>
    <mergeCell ref="D34:D36"/>
    <mergeCell ref="F7:F9"/>
    <mergeCell ref="A13:A14"/>
    <mergeCell ref="H63:H65"/>
    <mergeCell ref="B42:B44"/>
    <mergeCell ref="Q7:Q8"/>
    <mergeCell ref="D45:D47"/>
    <mergeCell ref="C31:C33"/>
    <mergeCell ref="G7:G9"/>
    <mergeCell ref="A40:A41"/>
    <mergeCell ref="C60:C62"/>
    <mergeCell ref="B28:B30"/>
    <mergeCell ref="D28:D30"/>
    <mergeCell ref="B37:B39"/>
    <mergeCell ref="D37:D39"/>
    <mergeCell ref="H66:H68"/>
    <mergeCell ref="A24:A25"/>
    <mergeCell ref="C57:C59"/>
    <mergeCell ref="H21:H22"/>
    <mergeCell ref="H28:H30"/>
    <mergeCell ref="H37:H39"/>
    <mergeCell ref="B54:B56"/>
    <mergeCell ref="D54:D56"/>
    <mergeCell ref="D63:D65"/>
    <mergeCell ref="H48:H50"/>
    <mergeCell ref="B10:B11"/>
    <mergeCell ref="C42:C44"/>
    <mergeCell ref="B24:B25"/>
    <mergeCell ref="B19:B20"/>
    <mergeCell ref="D24:D25"/>
    <mergeCell ref="U7:Z8"/>
    <mergeCell ref="A48:A50"/>
    <mergeCell ref="L7:L9"/>
    <mergeCell ref="A66:A68"/>
    <mergeCell ref="C13:C14"/>
    <mergeCell ref="D19:D20"/>
    <mergeCell ref="A75:A77"/>
    <mergeCell ref="C75:C77"/>
    <mergeCell ref="A15:A16"/>
    <mergeCell ref="B60:B62"/>
    <mergeCell ref="C15:C16"/>
    <mergeCell ref="A37:A39"/>
    <mergeCell ref="B69:B71"/>
    <mergeCell ref="C24:C25"/>
    <mergeCell ref="D66:D68"/>
  </mergeCells>
  <pageMargins left="0.25" right="0.25" top="0.75" bottom="0.75" header="0" footer="0"/>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7" ySplit="7" topLeftCell="H8" activePane="bottomRight" state="frozen"/>
      <selection pane="topRight" activeCell="H1" sqref="H1"/>
      <selection pane="bottomLeft" activeCell="A8" sqref="A8"/>
      <selection pane="bottomRight" activeCell="H8" sqref="H8"/>
    </sheetView>
  </sheetViews>
  <sheetFormatPr baseColWidth="8" defaultColWidth="14.43" defaultRowHeight="15" customHeight="1"/>
  <cols>
    <col width="4.43" customWidth="1" style="101" min="1" max="1"/>
    <col width="15.71" customWidth="1" style="101" min="2" max="2"/>
    <col width="15.43" customWidth="1" style="101" min="3" max="3"/>
    <col width="27.71" customWidth="1" style="101" min="4" max="4"/>
    <col width="24.14" customWidth="1" style="101" min="5" max="5"/>
    <col width="11.43" customWidth="1" style="101" min="6" max="6"/>
    <col width="41.29" customWidth="1" style="101" min="7" max="7"/>
    <col width="55.29" customWidth="1" style="101" min="8" max="8"/>
    <col width="10" customWidth="1" style="101" min="9" max="9"/>
    <col width="9.43" customWidth="1" style="101" min="10" max="10"/>
    <col width="11.14" customWidth="1" style="101" min="11" max="11"/>
    <col width="9.289999999999999" customWidth="1" style="101" min="12" max="15"/>
    <col width="9.140000000000001" customWidth="1" style="101" min="16" max="26"/>
  </cols>
  <sheetData>
    <row r="1" ht="21.75" customHeight="1" s="101">
      <c r="A1" s="4" t="n"/>
      <c r="B1" s="5" t="inlineStr">
        <is>
          <t xml:space="preserve">IPETRO PLANT </t>
        </is>
      </c>
      <c r="C1" s="6" t="n"/>
      <c r="D1" s="7" t="n"/>
      <c r="E1" s="7" t="n"/>
      <c r="F1" s="4" t="n"/>
      <c r="G1" s="4" t="n"/>
      <c r="H1" s="8" t="n"/>
      <c r="I1" s="8" t="n"/>
      <c r="J1" s="6" t="n"/>
      <c r="K1" s="6" t="n"/>
      <c r="L1" s="6" t="n"/>
      <c r="M1" s="6" t="n"/>
      <c r="N1" s="6" t="n"/>
      <c r="O1" s="6" t="n"/>
      <c r="P1" s="6" t="n"/>
      <c r="Q1" s="6" t="n"/>
      <c r="R1" s="6" t="n"/>
      <c r="S1" s="6" t="n"/>
      <c r="T1" s="6" t="n"/>
      <c r="U1" s="6" t="n"/>
      <c r="V1" s="6" t="n"/>
      <c r="W1" s="6" t="n"/>
      <c r="X1" s="6" t="n"/>
      <c r="Y1" s="6" t="n"/>
      <c r="Z1" s="6" t="n"/>
    </row>
    <row r="2" ht="21.75" customHeight="1" s="101">
      <c r="A2" s="7" t="n"/>
      <c r="B2" s="9" t="inlineStr">
        <is>
          <t>MASTERFILE EQUIPMENT</t>
        </is>
      </c>
      <c r="C2" s="7" t="n"/>
      <c r="D2" s="7" t="n"/>
      <c r="E2" s="7" t="n"/>
      <c r="F2" s="7" t="n"/>
      <c r="G2" s="4" t="n"/>
      <c r="H2" s="10" t="n"/>
      <c r="I2" s="10" t="n"/>
      <c r="J2" s="7" t="n"/>
      <c r="K2" s="7" t="n"/>
      <c r="L2" s="7" t="n"/>
      <c r="M2" s="7" t="n"/>
      <c r="N2" s="7" t="n"/>
      <c r="O2" s="7" t="n"/>
      <c r="P2" s="6" t="n"/>
      <c r="Q2" s="6" t="n"/>
      <c r="R2" s="6" t="n"/>
      <c r="S2" s="6" t="n"/>
      <c r="T2" s="6" t="n"/>
      <c r="U2" s="6" t="n"/>
      <c r="V2" s="6" t="n"/>
      <c r="W2" s="6" t="n"/>
      <c r="X2" s="6" t="n"/>
      <c r="Y2" s="6" t="n"/>
      <c r="Z2" s="6" t="n"/>
    </row>
    <row r="3" ht="21.75" customHeight="1" s="101">
      <c r="A3" s="7" t="n"/>
      <c r="B3" s="9" t="inlineStr">
        <is>
          <t>TOTAL NO. OF EQUIPMENT: 10 EQUIPMENTS</t>
        </is>
      </c>
      <c r="C3" s="7" t="n"/>
      <c r="D3" s="7" t="n"/>
      <c r="E3" s="7" t="n"/>
      <c r="F3" s="7" t="n"/>
      <c r="G3" s="4" t="n"/>
      <c r="H3" s="10" t="n"/>
      <c r="I3" s="10" t="n"/>
      <c r="J3" s="7" t="n"/>
      <c r="K3" s="7" t="n"/>
      <c r="L3" s="7" t="n"/>
      <c r="M3" s="7" t="n"/>
      <c r="N3" s="7" t="n"/>
      <c r="O3" s="7" t="n"/>
      <c r="P3" s="6" t="n"/>
      <c r="Q3" s="6" t="n"/>
      <c r="R3" s="6" t="n"/>
      <c r="S3" s="6" t="n"/>
      <c r="T3" s="6" t="n"/>
      <c r="U3" s="6" t="n"/>
      <c r="V3" s="6" t="n"/>
      <c r="W3" s="6" t="n"/>
      <c r="X3" s="6" t="n"/>
      <c r="Y3" s="6" t="n"/>
      <c r="Z3" s="6" t="n"/>
    </row>
    <row r="4" ht="21" customHeight="1" s="101">
      <c r="A4" s="1" t="n"/>
      <c r="D4" s="2" t="n"/>
      <c r="E4" s="2" t="n"/>
      <c r="F4" s="1" t="n"/>
      <c r="G4" s="1" t="n"/>
      <c r="H4" s="3" t="n"/>
      <c r="I4" s="3" t="n"/>
    </row>
    <row r="5" ht="18" customHeight="1" s="101">
      <c r="A5" s="126" t="inlineStr">
        <is>
          <t>NO.</t>
        </is>
      </c>
      <c r="B5" s="93" t="inlineStr">
        <is>
          <t>EQUIPMENT NO.</t>
        </is>
      </c>
      <c r="C5" s="126" t="inlineStr">
        <is>
          <t>PMT NO.</t>
        </is>
      </c>
      <c r="D5" s="93" t="inlineStr">
        <is>
          <t>EQUIPMENT DESCRIPTION</t>
        </is>
      </c>
      <c r="E5" s="93" t="inlineStr">
        <is>
          <t>PARTS</t>
        </is>
      </c>
      <c r="F5" s="93" t="inlineStr">
        <is>
          <t>PHASE</t>
        </is>
      </c>
      <c r="G5" s="93" t="inlineStr">
        <is>
          <t xml:space="preserve"> FLUID</t>
        </is>
      </c>
      <c r="H5" s="126" t="inlineStr">
        <is>
          <t>MATERIAL INFORMATION</t>
        </is>
      </c>
      <c r="I5" s="127" t="n"/>
      <c r="J5" s="128" t="n"/>
      <c r="K5" s="93" t="inlineStr">
        <is>
          <t>INSULATION
(yes/No)</t>
        </is>
      </c>
      <c r="L5" s="126" t="inlineStr">
        <is>
          <t>DESIGN</t>
        </is>
      </c>
      <c r="M5" s="128" t="n"/>
      <c r="N5" s="126" t="inlineStr">
        <is>
          <t>OPERATING</t>
        </is>
      </c>
      <c r="O5" s="128" t="n"/>
      <c r="P5" s="21" t="n"/>
      <c r="Q5" s="21" t="n"/>
      <c r="R5" s="21" t="n"/>
      <c r="S5" s="21" t="n"/>
      <c r="T5" s="21" t="n"/>
      <c r="U5" s="21" t="n"/>
      <c r="V5" s="21" t="n"/>
      <c r="W5" s="21" t="n"/>
      <c r="X5" s="21" t="n"/>
      <c r="Y5" s="21" t="n"/>
      <c r="Z5" s="21" t="n"/>
    </row>
    <row r="6" ht="30" customHeight="1" s="101">
      <c r="A6" s="120" t="n"/>
      <c r="B6" s="120" t="n"/>
      <c r="C6" s="120" t="n"/>
      <c r="D6" s="120" t="n"/>
      <c r="E6" s="120" t="n"/>
      <c r="F6" s="120" t="n"/>
      <c r="G6" s="120" t="n"/>
      <c r="H6" s="129" t="n"/>
      <c r="I6" s="114" t="n"/>
      <c r="J6" s="130" t="n"/>
      <c r="K6" s="120" t="n"/>
      <c r="L6" s="129" t="n"/>
      <c r="M6" s="130" t="n"/>
      <c r="N6" s="129" t="n"/>
      <c r="O6" s="130" t="n"/>
      <c r="P6" s="21" t="n"/>
      <c r="Q6" s="21" t="n"/>
      <c r="R6" s="21" t="n"/>
      <c r="S6" s="21" t="n"/>
      <c r="T6" s="21" t="n"/>
      <c r="U6" s="21" t="n"/>
      <c r="V6" s="21" t="n"/>
      <c r="W6" s="21" t="n"/>
      <c r="X6" s="21" t="n"/>
      <c r="Y6" s="21" t="n"/>
      <c r="Z6" s="21" t="n"/>
    </row>
    <row r="7" ht="73.5" customHeight="1" s="101">
      <c r="A7" s="119" t="n"/>
      <c r="B7" s="119" t="n"/>
      <c r="C7" s="119" t="n"/>
      <c r="D7" s="119" t="n"/>
      <c r="E7" s="119" t="n"/>
      <c r="F7" s="119" t="n"/>
      <c r="G7" s="119" t="n"/>
      <c r="H7" s="93" t="inlineStr">
        <is>
          <t>TYPE</t>
        </is>
      </c>
      <c r="I7" s="93" t="inlineStr">
        <is>
          <t>SPEC.</t>
        </is>
      </c>
      <c r="J7" s="93" t="inlineStr">
        <is>
          <t>GRADE</t>
        </is>
      </c>
      <c r="K7" s="119" t="n"/>
      <c r="L7" s="93" t="inlineStr">
        <is>
          <t>TEMP. 
(°C)</t>
        </is>
      </c>
      <c r="M7" s="93" t="inlineStr">
        <is>
          <t>PRESSURE (Mpa)</t>
        </is>
      </c>
      <c r="N7" s="93" t="inlineStr">
        <is>
          <t>TEMP. 
(°C)</t>
        </is>
      </c>
      <c r="O7" s="93" t="inlineStr">
        <is>
          <t>PRESSURE (Mpa)</t>
        </is>
      </c>
      <c r="P7" s="21" t="n"/>
      <c r="Q7" s="21" t="n"/>
      <c r="R7" s="21" t="n"/>
      <c r="S7" s="21" t="n"/>
      <c r="T7" s="21" t="n"/>
      <c r="U7" s="21" t="n"/>
      <c r="V7" s="21" t="n"/>
      <c r="W7" s="21" t="n"/>
      <c r="X7" s="21" t="n"/>
      <c r="Y7" s="21" t="n"/>
      <c r="Z7" s="21" t="n"/>
    </row>
    <row r="8" ht="25.5" customHeight="1" s="101">
      <c r="A8" s="54" t="n">
        <v>1</v>
      </c>
      <c r="B8" s="41" t="inlineStr">
        <is>
          <t>V-001</t>
        </is>
      </c>
      <c r="C8" s="40" t="inlineStr">
        <is>
          <t>MLK PMT 10101</t>
        </is>
      </c>
      <c r="D8" s="40" t="inlineStr">
        <is>
          <t>Air Receiver</t>
        </is>
      </c>
      <c r="E8" s="40" t="inlineStr">
        <is>
          <t>Top Head</t>
        </is>
      </c>
      <c r="F8" s="41" t="inlineStr">
        <is>
          <t>Gas</t>
        </is>
      </c>
      <c r="G8" s="40" t="inlineStr">
        <is>
          <t>Air</t>
        </is>
      </c>
      <c r="H8" s="95" t="inlineStr">
        <is>
          <t>Carbon Steel</t>
        </is>
      </c>
      <c r="I8" s="40" t="inlineStr">
        <is>
          <t>SA-516</t>
        </is>
      </c>
      <c r="J8" s="40" t="n">
        <v>70</v>
      </c>
      <c r="K8" s="41" t="n"/>
      <c r="L8" s="41" t="n">
        <v>100</v>
      </c>
      <c r="M8" s="96" t="n">
        <v>4</v>
      </c>
      <c r="N8" s="41" t="n">
        <v>50</v>
      </c>
      <c r="O8" s="96" t="n">
        <v>3.6</v>
      </c>
      <c r="P8" s="97" t="n"/>
      <c r="Q8" s="97" t="n"/>
      <c r="R8" s="97" t="n"/>
      <c r="S8" s="97" t="n"/>
      <c r="T8" s="97" t="n"/>
      <c r="U8" s="97" t="n"/>
      <c r="V8" s="97" t="n"/>
      <c r="W8" s="97" t="n"/>
      <c r="X8" s="97" t="n"/>
      <c r="Y8" s="97" t="n"/>
      <c r="Z8" s="97" t="n"/>
    </row>
    <row r="9" ht="25.5" customHeight="1" s="101">
      <c r="A9" s="120" t="n"/>
      <c r="B9" s="120" t="n"/>
      <c r="C9" s="120" t="n"/>
      <c r="D9" s="120" t="n"/>
      <c r="E9" s="40" t="inlineStr">
        <is>
          <t>Shell</t>
        </is>
      </c>
      <c r="F9" s="41" t="inlineStr">
        <is>
          <t>Gas</t>
        </is>
      </c>
      <c r="G9" s="40" t="inlineStr">
        <is>
          <t>Air</t>
        </is>
      </c>
      <c r="H9" s="95" t="inlineStr">
        <is>
          <t>Carbon Steel</t>
        </is>
      </c>
      <c r="I9" s="40" t="inlineStr">
        <is>
          <t>SA-516</t>
        </is>
      </c>
      <c r="J9" s="40" t="n">
        <v>70</v>
      </c>
      <c r="K9" s="41" t="n"/>
      <c r="L9" s="41" t="n">
        <v>100</v>
      </c>
      <c r="M9" s="96" t="n">
        <v>4</v>
      </c>
      <c r="N9" s="41" t="n">
        <v>50</v>
      </c>
      <c r="O9" s="96" t="n">
        <v>3.6</v>
      </c>
      <c r="P9" s="97" t="n"/>
      <c r="Q9" s="97" t="n"/>
      <c r="R9" s="97" t="n"/>
      <c r="S9" s="97" t="n"/>
      <c r="T9" s="97" t="n"/>
      <c r="U9" s="97" t="n"/>
      <c r="V9" s="97" t="n"/>
      <c r="W9" s="97" t="n"/>
      <c r="X9" s="97" t="n"/>
      <c r="Y9" s="97" t="n"/>
      <c r="Z9" s="97" t="n"/>
    </row>
    <row r="10" ht="25.5" customHeight="1" s="101">
      <c r="A10" s="119" t="n"/>
      <c r="B10" s="119" t="n"/>
      <c r="C10" s="119" t="n"/>
      <c r="D10" s="119" t="n"/>
      <c r="E10" s="40" t="inlineStr">
        <is>
          <t>Bottom Head</t>
        </is>
      </c>
      <c r="F10" s="41" t="inlineStr">
        <is>
          <t>Gas</t>
        </is>
      </c>
      <c r="G10" s="40" t="inlineStr">
        <is>
          <t>Air</t>
        </is>
      </c>
      <c r="H10" s="95" t="inlineStr">
        <is>
          <t>Carbon Steel</t>
        </is>
      </c>
      <c r="I10" s="40" t="inlineStr">
        <is>
          <t>SA-516</t>
        </is>
      </c>
      <c r="J10" s="40" t="n">
        <v>70</v>
      </c>
      <c r="K10" s="41" t="n"/>
      <c r="L10" s="41" t="n">
        <v>100</v>
      </c>
      <c r="M10" s="96" t="n">
        <v>4</v>
      </c>
      <c r="N10" s="41" t="n">
        <v>50</v>
      </c>
      <c r="O10" s="96" t="n">
        <v>3.6</v>
      </c>
      <c r="P10" s="97" t="n"/>
      <c r="Q10" s="97" t="n"/>
      <c r="R10" s="97" t="n"/>
      <c r="S10" s="97" t="n"/>
      <c r="T10" s="97" t="n"/>
      <c r="U10" s="97" t="n"/>
      <c r="V10" s="97" t="n"/>
      <c r="W10" s="97" t="n"/>
      <c r="X10" s="97" t="n"/>
      <c r="Y10" s="97" t="n"/>
      <c r="Z10" s="97" t="n"/>
    </row>
    <row r="11" ht="25.5" customHeight="1" s="101">
      <c r="A11" s="54" t="n">
        <v>2</v>
      </c>
      <c r="B11" s="41" t="inlineStr">
        <is>
          <t>V-002</t>
        </is>
      </c>
      <c r="C11" s="41" t="inlineStr">
        <is>
          <t>MLK PMT 10102</t>
        </is>
      </c>
      <c r="D11" s="40" t="inlineStr">
        <is>
          <t>Expansion Tank</t>
        </is>
      </c>
      <c r="E11" s="40" t="inlineStr">
        <is>
          <t>Top Head</t>
        </is>
      </c>
      <c r="F11" s="41" t="inlineStr">
        <is>
          <t>Liquid</t>
        </is>
      </c>
      <c r="G11" s="40" t="n"/>
      <c r="H11" s="95" t="inlineStr">
        <is>
          <t>Stainless Steel</t>
        </is>
      </c>
      <c r="I11" s="40" t="n"/>
      <c r="J11" s="40" t="n"/>
      <c r="K11" s="41" t="n"/>
      <c r="L11" s="41" t="n"/>
      <c r="M11" s="96" t="n"/>
      <c r="N11" s="41" t="n"/>
      <c r="O11" s="96" t="n"/>
      <c r="P11" s="97" t="n"/>
      <c r="Q11" s="97" t="n"/>
      <c r="R11" s="97" t="n"/>
      <c r="S11" s="97" t="n"/>
      <c r="T11" s="97" t="n"/>
      <c r="U11" s="97" t="n"/>
      <c r="V11" s="97" t="n"/>
      <c r="W11" s="97" t="n"/>
      <c r="X11" s="97" t="n"/>
      <c r="Y11" s="97" t="n"/>
      <c r="Z11" s="97" t="n"/>
    </row>
    <row r="12" ht="25.5" customHeight="1" s="101">
      <c r="A12" s="120" t="n"/>
      <c r="B12" s="120" t="n"/>
      <c r="C12" s="120" t="n"/>
      <c r="D12" s="120" t="n"/>
      <c r="E12" s="40" t="inlineStr">
        <is>
          <t>Shell</t>
        </is>
      </c>
      <c r="F12" s="41" t="inlineStr">
        <is>
          <t>Liquid</t>
        </is>
      </c>
      <c r="G12" s="40" t="inlineStr">
        <is>
          <t>Water</t>
        </is>
      </c>
      <c r="H12" s="95" t="inlineStr">
        <is>
          <t>Stainless Steel</t>
        </is>
      </c>
      <c r="I12" s="40" t="n"/>
      <c r="J12" s="40" t="n"/>
      <c r="K12" s="41" t="n"/>
      <c r="L12" s="41" t="n">
        <v>150</v>
      </c>
      <c r="M12" s="96" t="n"/>
      <c r="N12" s="41" t="n"/>
      <c r="O12" s="96" t="n"/>
      <c r="P12" s="97" t="n"/>
      <c r="Q12" s="97" t="n"/>
      <c r="R12" s="97" t="n"/>
      <c r="S12" s="97" t="n"/>
      <c r="T12" s="97" t="n"/>
      <c r="U12" s="97" t="n"/>
      <c r="V12" s="97" t="n"/>
      <c r="W12" s="97" t="n"/>
      <c r="X12" s="97" t="n"/>
      <c r="Y12" s="97" t="n"/>
      <c r="Z12" s="97" t="n"/>
    </row>
    <row r="13" ht="25.5" customHeight="1" s="101">
      <c r="A13" s="119" t="n"/>
      <c r="B13" s="119" t="n"/>
      <c r="C13" s="119" t="n"/>
      <c r="D13" s="119" t="n"/>
      <c r="E13" s="40" t="inlineStr">
        <is>
          <t>Bottom Head</t>
        </is>
      </c>
      <c r="F13" s="41" t="inlineStr">
        <is>
          <t>Liquid</t>
        </is>
      </c>
      <c r="G13" s="40" t="n"/>
      <c r="H13" s="95" t="inlineStr">
        <is>
          <t>Stainless Steel</t>
        </is>
      </c>
      <c r="I13" s="40" t="n"/>
      <c r="J13" s="40" t="n"/>
      <c r="K13" s="41" t="n"/>
      <c r="L13" s="41" t="n"/>
      <c r="M13" s="96" t="n"/>
      <c r="N13" s="41" t="n"/>
      <c r="O13" s="96" t="n"/>
      <c r="P13" s="97" t="n"/>
      <c r="Q13" s="97" t="n"/>
      <c r="R13" s="97" t="n"/>
      <c r="S13" s="97" t="n"/>
      <c r="T13" s="97" t="n"/>
      <c r="U13" s="97" t="n"/>
      <c r="V13" s="97" t="n"/>
      <c r="W13" s="97" t="n"/>
      <c r="X13" s="97" t="n"/>
      <c r="Y13" s="97" t="n"/>
      <c r="Z13" s="97" t="n"/>
    </row>
    <row r="14" ht="25.5" customHeight="1" s="101">
      <c r="A14" s="54" t="n">
        <v>3</v>
      </c>
      <c r="B14" s="41" t="inlineStr">
        <is>
          <t>V-003</t>
        </is>
      </c>
      <c r="C14" s="41" t="inlineStr">
        <is>
          <t>MLK PMT 10103</t>
        </is>
      </c>
      <c r="D14" s="40" t="inlineStr">
        <is>
          <t>Condensate Vessel</t>
        </is>
      </c>
      <c r="E14" s="40" t="inlineStr">
        <is>
          <t>Top Head</t>
        </is>
      </c>
      <c r="F14" s="41" t="inlineStr">
        <is>
          <t>Gas</t>
        </is>
      </c>
      <c r="G14" s="40" t="n"/>
      <c r="H14" s="95" t="inlineStr">
        <is>
          <t>Carbon Steel</t>
        </is>
      </c>
      <c r="I14" s="40" t="n"/>
      <c r="J14" s="40" t="n"/>
      <c r="K14" s="41" t="n"/>
      <c r="L14" s="41" t="n"/>
      <c r="M14" s="96" t="n"/>
      <c r="N14" s="41" t="n"/>
      <c r="O14" s="96" t="n"/>
      <c r="P14" s="97" t="n"/>
      <c r="Q14" s="97" t="n"/>
      <c r="R14" s="97" t="n"/>
      <c r="S14" s="97" t="n"/>
      <c r="T14" s="97" t="n"/>
      <c r="U14" s="97" t="n"/>
      <c r="V14" s="97" t="n"/>
      <c r="W14" s="97" t="n"/>
      <c r="X14" s="97" t="n"/>
      <c r="Y14" s="97" t="n"/>
      <c r="Z14" s="97" t="n"/>
    </row>
    <row r="15" ht="25.5" customHeight="1" s="101">
      <c r="A15" s="120" t="n"/>
      <c r="B15" s="120" t="n"/>
      <c r="C15" s="120" t="n"/>
      <c r="D15" s="120" t="n"/>
      <c r="E15" s="40" t="inlineStr">
        <is>
          <t>Shell</t>
        </is>
      </c>
      <c r="F15" s="41" t="inlineStr">
        <is>
          <t>Gas</t>
        </is>
      </c>
      <c r="G15" s="40" t="n"/>
      <c r="H15" s="95" t="inlineStr">
        <is>
          <t>Carbon Steel</t>
        </is>
      </c>
      <c r="I15" s="40" t="n"/>
      <c r="J15" s="40" t="n"/>
      <c r="K15" s="41" t="n"/>
      <c r="L15" s="41" t="n"/>
      <c r="M15" s="96" t="n"/>
      <c r="N15" s="41" t="n"/>
      <c r="O15" s="96" t="n"/>
      <c r="P15" s="97" t="n"/>
      <c r="Q15" s="97" t="n"/>
      <c r="R15" s="97" t="n"/>
      <c r="S15" s="97" t="n"/>
      <c r="T15" s="97" t="n"/>
      <c r="U15" s="97" t="n"/>
      <c r="V15" s="97" t="n"/>
      <c r="W15" s="97" t="n"/>
      <c r="X15" s="97" t="n"/>
      <c r="Y15" s="97" t="n"/>
      <c r="Z15" s="97" t="n"/>
    </row>
    <row r="16" ht="25.5" customHeight="1" s="101">
      <c r="A16" s="119" t="n"/>
      <c r="B16" s="119" t="n"/>
      <c r="C16" s="119" t="n"/>
      <c r="D16" s="119" t="n"/>
      <c r="E16" s="40" t="inlineStr">
        <is>
          <t>Bottom Head</t>
        </is>
      </c>
      <c r="F16" s="41" t="inlineStr">
        <is>
          <t>Gas</t>
        </is>
      </c>
      <c r="G16" s="40" t="n"/>
      <c r="H16" s="95" t="inlineStr">
        <is>
          <t>Carbon Steel</t>
        </is>
      </c>
      <c r="I16" s="40" t="n"/>
      <c r="J16" s="40" t="n"/>
      <c r="K16" s="41" t="n"/>
      <c r="L16" s="41" t="n"/>
      <c r="M16" s="96" t="n"/>
      <c r="N16" s="41" t="n"/>
      <c r="O16" s="96" t="n"/>
      <c r="P16" s="97" t="n"/>
      <c r="Q16" s="97" t="n"/>
      <c r="R16" s="97" t="n"/>
      <c r="S16" s="97" t="n"/>
      <c r="T16" s="97" t="n"/>
      <c r="U16" s="97" t="n"/>
      <c r="V16" s="97" t="n"/>
      <c r="W16" s="97" t="n"/>
      <c r="X16" s="97" t="n"/>
      <c r="Y16" s="97" t="n"/>
      <c r="Z16" s="97" t="n"/>
    </row>
    <row r="17" ht="25.5" customHeight="1" s="101">
      <c r="A17" s="54" t="n">
        <v>4</v>
      </c>
      <c r="B17" s="41" t="inlineStr">
        <is>
          <t>V-004</t>
        </is>
      </c>
      <c r="C17" s="40" t="inlineStr">
        <is>
          <t>MLK PMT 10104</t>
        </is>
      </c>
      <c r="D17" s="40" t="inlineStr">
        <is>
          <t>Hot Water System</t>
        </is>
      </c>
      <c r="E17" s="40" t="inlineStr">
        <is>
          <t>Head</t>
        </is>
      </c>
      <c r="F17" s="41" t="inlineStr">
        <is>
          <t>Liquid</t>
        </is>
      </c>
      <c r="G17" s="40" t="n"/>
      <c r="H17" s="95" t="inlineStr">
        <is>
          <t>Stainless Steel</t>
        </is>
      </c>
      <c r="I17" s="40" t="n"/>
      <c r="J17" s="40" t="n"/>
      <c r="K17" s="41" t="n"/>
      <c r="L17" s="41" t="n"/>
      <c r="M17" s="96" t="n"/>
      <c r="N17" s="98" t="n"/>
      <c r="O17" s="96" t="n"/>
      <c r="P17" s="97" t="n"/>
      <c r="Q17" s="97" t="n"/>
      <c r="R17" s="97" t="n"/>
      <c r="S17" s="97" t="n"/>
      <c r="T17" s="97" t="n"/>
      <c r="U17" s="97" t="n"/>
      <c r="V17" s="97" t="n"/>
      <c r="W17" s="97" t="n"/>
      <c r="X17" s="97" t="n"/>
      <c r="Y17" s="97" t="n"/>
      <c r="Z17" s="97" t="n"/>
    </row>
    <row r="18" ht="25.5" customHeight="1" s="101">
      <c r="A18" s="119" t="n"/>
      <c r="B18" s="119" t="n"/>
      <c r="C18" s="119" t="n"/>
      <c r="D18" s="119" t="n"/>
      <c r="E18" s="40" t="inlineStr">
        <is>
          <t>Shell</t>
        </is>
      </c>
      <c r="F18" s="41" t="inlineStr">
        <is>
          <t>Liquid</t>
        </is>
      </c>
      <c r="G18" s="40" t="n"/>
      <c r="H18" s="95" t="inlineStr">
        <is>
          <t>Stainless Steel</t>
        </is>
      </c>
      <c r="I18" s="40" t="n"/>
      <c r="J18" s="40" t="n"/>
      <c r="K18" s="41" t="n"/>
      <c r="L18" s="41" t="n"/>
      <c r="M18" s="96" t="n"/>
      <c r="N18" s="98" t="n"/>
      <c r="O18" s="96" t="n"/>
      <c r="P18" s="97" t="n"/>
      <c r="Q18" s="97" t="n"/>
      <c r="R18" s="97" t="n"/>
      <c r="S18" s="97" t="n"/>
      <c r="T18" s="97" t="n"/>
      <c r="U18" s="97" t="n"/>
      <c r="V18" s="97" t="n"/>
      <c r="W18" s="97" t="n"/>
      <c r="X18" s="97" t="n"/>
      <c r="Y18" s="97" t="n"/>
      <c r="Z18" s="97" t="n"/>
    </row>
    <row r="19" ht="25.5" customHeight="1" s="101">
      <c r="A19" s="54" t="n">
        <v>5</v>
      </c>
      <c r="B19" s="41" t="inlineStr">
        <is>
          <t>V-005</t>
        </is>
      </c>
      <c r="C19" s="40" t="inlineStr">
        <is>
          <t>MLK PMT 10105</t>
        </is>
      </c>
      <c r="D19" s="40" t="inlineStr">
        <is>
          <t>Absorber for Neutralization of Acid Gases</t>
        </is>
      </c>
      <c r="E19" s="40" t="inlineStr">
        <is>
          <t>Top Channel</t>
        </is>
      </c>
      <c r="F19" s="41" t="inlineStr">
        <is>
          <t>Liquid</t>
        </is>
      </c>
      <c r="G19" s="40" t="n"/>
      <c r="H19" s="95" t="inlineStr">
        <is>
          <t>Stainless Steel</t>
        </is>
      </c>
      <c r="I19" s="40" t="n"/>
      <c r="J19" s="40" t="n"/>
      <c r="K19" s="41" t="n"/>
      <c r="L19" s="41" t="n"/>
      <c r="M19" s="96" t="n"/>
      <c r="N19" s="41" t="n"/>
      <c r="O19" s="96" t="n"/>
      <c r="P19" s="97" t="n"/>
      <c r="Q19" s="97" t="n"/>
      <c r="R19" s="97" t="n"/>
      <c r="S19" s="97" t="n"/>
      <c r="T19" s="97" t="n"/>
      <c r="U19" s="97" t="n"/>
      <c r="V19" s="97" t="n"/>
      <c r="W19" s="97" t="n"/>
      <c r="X19" s="97" t="n"/>
      <c r="Y19" s="97" t="n"/>
      <c r="Z19" s="97" t="n"/>
    </row>
    <row r="20" ht="25.5" customHeight="1" s="101">
      <c r="A20" s="120" t="n"/>
      <c r="B20" s="120" t="n"/>
      <c r="C20" s="120" t="n"/>
      <c r="D20" s="120" t="n"/>
      <c r="E20" s="40" t="inlineStr">
        <is>
          <t>Shell</t>
        </is>
      </c>
      <c r="F20" s="41" t="inlineStr">
        <is>
          <t>Liquid</t>
        </is>
      </c>
      <c r="G20" s="40" t="n"/>
      <c r="H20" s="95" t="inlineStr">
        <is>
          <t>Stainless Steel</t>
        </is>
      </c>
      <c r="I20" s="40" t="n"/>
      <c r="J20" s="40" t="n"/>
      <c r="K20" s="41" t="n"/>
      <c r="L20" s="41" t="n"/>
      <c r="M20" s="96" t="n"/>
      <c r="N20" s="41" t="n"/>
      <c r="O20" s="96" t="n"/>
      <c r="P20" s="97" t="n"/>
      <c r="Q20" s="97" t="n"/>
      <c r="R20" s="97" t="n"/>
      <c r="S20" s="97" t="n"/>
      <c r="T20" s="97" t="n"/>
      <c r="U20" s="97" t="n"/>
      <c r="V20" s="97" t="n"/>
      <c r="W20" s="97" t="n"/>
      <c r="X20" s="97" t="n"/>
      <c r="Y20" s="97" t="n"/>
      <c r="Z20" s="97" t="n"/>
    </row>
    <row r="21" ht="25.5" customHeight="1" s="101">
      <c r="A21" s="120" t="n"/>
      <c r="B21" s="120" t="n"/>
      <c r="C21" s="120" t="n"/>
      <c r="D21" s="120" t="n"/>
      <c r="E21" s="40" t="inlineStr">
        <is>
          <t>Bottom Channel</t>
        </is>
      </c>
      <c r="F21" s="41" t="inlineStr">
        <is>
          <t>Gas</t>
        </is>
      </c>
      <c r="G21" s="40" t="n"/>
      <c r="H21" s="95" t="inlineStr">
        <is>
          <t>Stainless Steel</t>
        </is>
      </c>
      <c r="I21" s="40" t="n"/>
      <c r="J21" s="40" t="n"/>
      <c r="K21" s="41" t="n"/>
      <c r="L21" s="41" t="n"/>
      <c r="M21" s="96" t="n"/>
      <c r="N21" s="41" t="n"/>
      <c r="O21" s="96" t="n"/>
      <c r="P21" s="97" t="n"/>
      <c r="Q21" s="97" t="n"/>
      <c r="R21" s="97" t="n"/>
      <c r="S21" s="97" t="n"/>
      <c r="T21" s="97" t="n"/>
      <c r="U21" s="97" t="n"/>
      <c r="V21" s="97" t="n"/>
      <c r="W21" s="97" t="n"/>
      <c r="X21" s="97" t="n"/>
      <c r="Y21" s="97" t="n"/>
      <c r="Z21" s="97" t="n"/>
    </row>
    <row r="22" ht="25.5" customHeight="1" s="101">
      <c r="A22" s="119" t="n"/>
      <c r="B22" s="119" t="n"/>
      <c r="C22" s="119" t="n"/>
      <c r="D22" s="119" t="n"/>
      <c r="E22" s="40" t="inlineStr">
        <is>
          <t>Riser Pipe</t>
        </is>
      </c>
      <c r="F22" s="41" t="inlineStr">
        <is>
          <t>Gas</t>
        </is>
      </c>
      <c r="G22" s="40" t="n"/>
      <c r="H22" s="95" t="inlineStr">
        <is>
          <t>Stainless Steel</t>
        </is>
      </c>
      <c r="I22" s="40" t="n"/>
      <c r="J22" s="40" t="n"/>
      <c r="K22" s="41" t="n"/>
      <c r="L22" s="41" t="n"/>
      <c r="M22" s="96" t="n"/>
      <c r="N22" s="41" t="n"/>
      <c r="O22" s="96" t="n"/>
      <c r="P22" s="97" t="n"/>
      <c r="Q22" s="97" t="n"/>
      <c r="R22" s="97" t="n"/>
      <c r="S22" s="97" t="n"/>
      <c r="T22" s="97" t="n"/>
      <c r="U22" s="97" t="n"/>
      <c r="V22" s="97" t="n"/>
      <c r="W22" s="97" t="n"/>
      <c r="X22" s="97" t="n"/>
      <c r="Y22" s="97" t="n"/>
      <c r="Z22" s="97" t="n"/>
    </row>
    <row r="23" ht="25.5" customHeight="1" s="101">
      <c r="A23" s="131" t="n">
        <v>6</v>
      </c>
      <c r="B23" s="41" t="inlineStr">
        <is>
          <t>V-006</t>
        </is>
      </c>
      <c r="C23" s="41" t="inlineStr">
        <is>
          <t>MLK PMT 10106</t>
        </is>
      </c>
      <c r="D23" s="40" t="inlineStr">
        <is>
          <t>Thermal Deaerator</t>
        </is>
      </c>
      <c r="E23" s="40" t="inlineStr">
        <is>
          <t>Head</t>
        </is>
      </c>
      <c r="F23" s="41" t="inlineStr">
        <is>
          <t>Gas</t>
        </is>
      </c>
      <c r="G23" s="40" t="n"/>
      <c r="H23" s="95" t="inlineStr">
        <is>
          <t>Carbon Steel</t>
        </is>
      </c>
      <c r="I23" s="40" t="n"/>
      <c r="J23" s="40" t="n"/>
      <c r="K23" s="41" t="n"/>
      <c r="L23" s="41" t="n"/>
      <c r="M23" s="96" t="n"/>
      <c r="N23" s="98" t="n"/>
      <c r="O23" s="96" t="n"/>
      <c r="P23" s="97" t="n"/>
      <c r="Q23" s="97" t="n"/>
      <c r="R23" s="97" t="n"/>
      <c r="S23" s="97" t="n"/>
      <c r="T23" s="97" t="n"/>
      <c r="U23" s="97" t="n"/>
      <c r="V23" s="97" t="n"/>
      <c r="W23" s="97" t="n"/>
      <c r="X23" s="97" t="n"/>
      <c r="Y23" s="97" t="n"/>
      <c r="Z23" s="97" t="n"/>
    </row>
    <row r="24" ht="25.5" customHeight="1" s="101">
      <c r="A24" s="119" t="n"/>
      <c r="B24" s="119" t="n"/>
      <c r="C24" s="119" t="n"/>
      <c r="D24" s="119" t="n"/>
      <c r="E24" s="40" t="inlineStr">
        <is>
          <t>Shell</t>
        </is>
      </c>
      <c r="F24" s="41" t="inlineStr">
        <is>
          <t>Gas</t>
        </is>
      </c>
      <c r="G24" s="40" t="n"/>
      <c r="H24" s="95" t="inlineStr">
        <is>
          <t>Carbon Steel</t>
        </is>
      </c>
      <c r="I24" s="40" t="n"/>
      <c r="J24" s="40" t="n"/>
      <c r="K24" s="41" t="n"/>
      <c r="L24" s="41" t="n"/>
      <c r="M24" s="96" t="n"/>
      <c r="N24" s="98" t="n"/>
      <c r="O24" s="96" t="n"/>
      <c r="P24" s="97" t="n"/>
      <c r="Q24" s="97" t="n"/>
      <c r="R24" s="97" t="n"/>
      <c r="S24" s="97" t="n"/>
      <c r="T24" s="97" t="n"/>
      <c r="U24" s="97" t="n"/>
      <c r="V24" s="97" t="n"/>
      <c r="W24" s="97" t="n"/>
      <c r="X24" s="97" t="n"/>
      <c r="Y24" s="97" t="n"/>
      <c r="Z24" s="97" t="n"/>
    </row>
    <row r="25" ht="25.5" customHeight="1" s="101">
      <c r="A25" s="131" t="n">
        <v>7</v>
      </c>
      <c r="B25" s="41" t="inlineStr">
        <is>
          <t>H-001</t>
        </is>
      </c>
      <c r="C25" s="41" t="inlineStr">
        <is>
          <t>MLK PMT 10107</t>
        </is>
      </c>
      <c r="D25" s="40" t="inlineStr">
        <is>
          <t xml:space="preserve">Cooling of Steam- Gas Mix at The Exit of the Reactor </t>
        </is>
      </c>
      <c r="E25" s="40" t="inlineStr">
        <is>
          <t>Channel</t>
        </is>
      </c>
      <c r="F25" s="41" t="inlineStr">
        <is>
          <t>Gas</t>
        </is>
      </c>
      <c r="G25" s="40" t="inlineStr">
        <is>
          <t>Vent Gas</t>
        </is>
      </c>
      <c r="H25" s="95" t="inlineStr">
        <is>
          <t>Stainless Steel</t>
        </is>
      </c>
      <c r="I25" s="40" t="inlineStr">
        <is>
          <t>SA-240</t>
        </is>
      </c>
      <c r="J25" s="40" t="n">
        <v>316</v>
      </c>
      <c r="K25" s="41" t="inlineStr">
        <is>
          <t>/</t>
        </is>
      </c>
      <c r="L25" s="41" t="n">
        <v>535</v>
      </c>
      <c r="M25" s="96" t="n">
        <v>0.5</v>
      </c>
      <c r="N25" s="41" t="n">
        <v>450</v>
      </c>
      <c r="O25" s="41" t="n">
        <v>0.05</v>
      </c>
      <c r="P25" s="97" t="n"/>
      <c r="Q25" s="97" t="n"/>
      <c r="R25" s="97" t="n"/>
      <c r="S25" s="97" t="n"/>
      <c r="T25" s="97" t="n"/>
      <c r="U25" s="97" t="n"/>
      <c r="V25" s="97" t="n"/>
      <c r="W25" s="97" t="n"/>
      <c r="X25" s="97" t="n"/>
      <c r="Y25" s="97" t="n"/>
      <c r="Z25" s="97" t="n"/>
    </row>
    <row r="26" ht="25.5" customHeight="1" s="101">
      <c r="A26" s="120" t="n"/>
      <c r="B26" s="120" t="n"/>
      <c r="C26" s="120" t="n"/>
      <c r="D26" s="120" t="n"/>
      <c r="E26" s="40" t="inlineStr">
        <is>
          <t>Shell</t>
        </is>
      </c>
      <c r="F26" s="41" t="inlineStr">
        <is>
          <t>Gas</t>
        </is>
      </c>
      <c r="G26" s="40" t="inlineStr">
        <is>
          <t>Vent Gas</t>
        </is>
      </c>
      <c r="H26" s="95" t="inlineStr">
        <is>
          <t>Stainless Steel</t>
        </is>
      </c>
      <c r="I26" s="40" t="inlineStr">
        <is>
          <t>SA-240</t>
        </is>
      </c>
      <c r="J26" s="40" t="n">
        <v>316</v>
      </c>
      <c r="K26" s="41" t="inlineStr">
        <is>
          <t>/</t>
        </is>
      </c>
      <c r="L26" s="41" t="n">
        <v>335</v>
      </c>
      <c r="M26" s="96" t="n">
        <v>0.5</v>
      </c>
      <c r="N26" s="41" t="n">
        <v>250</v>
      </c>
      <c r="O26" s="41" t="n">
        <v>0.05</v>
      </c>
      <c r="P26" s="97" t="n"/>
      <c r="Q26" s="97" t="n"/>
      <c r="R26" s="97" t="n"/>
      <c r="S26" s="97" t="n"/>
      <c r="T26" s="97" t="n"/>
      <c r="U26" s="97" t="n"/>
      <c r="V26" s="97" t="n"/>
      <c r="W26" s="97" t="n"/>
      <c r="X26" s="97" t="n"/>
      <c r="Y26" s="97" t="n"/>
      <c r="Z26" s="97" t="n"/>
    </row>
    <row r="27" ht="25.5" customHeight="1" s="101">
      <c r="A27" s="119" t="n"/>
      <c r="B27" s="119" t="n"/>
      <c r="C27" s="119" t="n"/>
      <c r="D27" s="119" t="n"/>
      <c r="E27" s="40" t="inlineStr">
        <is>
          <t>Tube Bundle</t>
        </is>
      </c>
      <c r="F27" s="41" t="inlineStr">
        <is>
          <t>Gas</t>
        </is>
      </c>
      <c r="G27" s="40" t="inlineStr">
        <is>
          <t>Vent Gas</t>
        </is>
      </c>
      <c r="H27" s="95" t="inlineStr">
        <is>
          <t>Stainless Steel</t>
        </is>
      </c>
      <c r="I27" s="40" t="inlineStr">
        <is>
          <t>SA-213</t>
        </is>
      </c>
      <c r="J27" s="40" t="inlineStr">
        <is>
          <t>TP316</t>
        </is>
      </c>
      <c r="K27" s="41" t="n"/>
      <c r="L27" s="41" t="n">
        <v>535</v>
      </c>
      <c r="M27" s="96" t="n">
        <v>0.5</v>
      </c>
      <c r="N27" s="41" t="n">
        <v>450</v>
      </c>
      <c r="O27" s="41" t="n">
        <v>0.05</v>
      </c>
      <c r="P27" s="97" t="n"/>
      <c r="Q27" s="97" t="n"/>
      <c r="R27" s="97" t="n"/>
      <c r="S27" s="97" t="n"/>
      <c r="T27" s="97" t="n"/>
      <c r="U27" s="97" t="n"/>
      <c r="V27" s="97" t="n"/>
      <c r="W27" s="97" t="n"/>
      <c r="X27" s="97" t="n"/>
      <c r="Y27" s="97" t="n"/>
      <c r="Z27" s="97" t="n"/>
    </row>
    <row r="28" ht="25.5" customHeight="1" s="101">
      <c r="A28" s="54" t="n">
        <v>8</v>
      </c>
      <c r="B28" s="41" t="inlineStr">
        <is>
          <t>H-002</t>
        </is>
      </c>
      <c r="C28" s="41" t="inlineStr">
        <is>
          <t>MLK PMT 10108</t>
        </is>
      </c>
      <c r="D28" s="40" t="inlineStr">
        <is>
          <t>Gas Scrubber Cooler</t>
        </is>
      </c>
      <c r="E28" s="40" t="inlineStr">
        <is>
          <t>Channel</t>
        </is>
      </c>
      <c r="F28" s="41" t="inlineStr">
        <is>
          <t>Liquid</t>
        </is>
      </c>
      <c r="G28" s="40" t="n"/>
      <c r="H28" s="95" t="inlineStr">
        <is>
          <t>Stainless Steel</t>
        </is>
      </c>
      <c r="I28" s="40" t="n"/>
      <c r="J28" s="40" t="n"/>
      <c r="K28" s="41" t="n"/>
      <c r="L28" s="41" t="n"/>
      <c r="M28" s="100" t="n"/>
      <c r="N28" s="41" t="n">
        <v>10</v>
      </c>
      <c r="O28" s="41" t="n">
        <v>0.5</v>
      </c>
      <c r="P28" s="97" t="n"/>
      <c r="Q28" s="97" t="n"/>
      <c r="R28" s="97" t="n"/>
      <c r="S28" s="97" t="n"/>
      <c r="T28" s="97" t="n"/>
      <c r="U28" s="97" t="n"/>
      <c r="V28" s="97" t="n"/>
      <c r="W28" s="97" t="n"/>
      <c r="X28" s="97" t="n"/>
      <c r="Y28" s="97" t="n"/>
      <c r="Z28" s="97" t="n"/>
    </row>
    <row r="29" ht="25.5" customHeight="1" s="101">
      <c r="A29" s="120" t="n"/>
      <c r="B29" s="120" t="n"/>
      <c r="C29" s="120" t="n"/>
      <c r="D29" s="120" t="n"/>
      <c r="E29" s="40" t="inlineStr">
        <is>
          <t>Shell</t>
        </is>
      </c>
      <c r="F29" s="41" t="inlineStr">
        <is>
          <t>Liquid</t>
        </is>
      </c>
      <c r="G29" s="40" t="n"/>
      <c r="H29" s="95" t="inlineStr">
        <is>
          <t>Stainless Steel</t>
        </is>
      </c>
      <c r="I29" s="40" t="n"/>
      <c r="J29" s="40" t="n"/>
      <c r="K29" s="41" t="n"/>
      <c r="L29" s="41" t="n"/>
      <c r="M29" s="100" t="n"/>
      <c r="N29" s="41" t="n">
        <v>40</v>
      </c>
      <c r="O29" s="41" t="n">
        <v>0.3</v>
      </c>
      <c r="P29" s="97" t="n"/>
      <c r="Q29" s="97" t="n"/>
      <c r="R29" s="97" t="n"/>
      <c r="S29" s="97" t="n"/>
      <c r="T29" s="97" t="n"/>
      <c r="U29" s="97" t="n"/>
      <c r="V29" s="97" t="n"/>
      <c r="W29" s="97" t="n"/>
      <c r="X29" s="97" t="n"/>
      <c r="Y29" s="97" t="n"/>
      <c r="Z29" s="97" t="n"/>
    </row>
    <row r="30" ht="25.5" customHeight="1" s="101">
      <c r="A30" s="119" t="n"/>
      <c r="B30" s="119" t="n"/>
      <c r="C30" s="119" t="n"/>
      <c r="D30" s="119" t="n"/>
      <c r="E30" s="40" t="inlineStr">
        <is>
          <t>Tube Bundle</t>
        </is>
      </c>
      <c r="F30" s="41" t="inlineStr">
        <is>
          <t>Liquid</t>
        </is>
      </c>
      <c r="G30" s="40" t="n"/>
      <c r="H30" s="95" t="inlineStr">
        <is>
          <t>Stainless Steel</t>
        </is>
      </c>
      <c r="I30" s="40" t="n"/>
      <c r="J30" s="40" t="n"/>
      <c r="K30" s="41" t="n"/>
      <c r="L30" s="41" t="n"/>
      <c r="M30" s="100" t="n"/>
      <c r="N30" s="41" t="n">
        <v>10</v>
      </c>
      <c r="O30" s="41" t="n">
        <v>0.5</v>
      </c>
      <c r="P30" s="97" t="n"/>
      <c r="Q30" s="97" t="n"/>
      <c r="R30" s="97" t="n"/>
      <c r="S30" s="97" t="n"/>
      <c r="T30" s="97" t="n"/>
      <c r="U30" s="97" t="n"/>
      <c r="V30" s="97" t="n"/>
      <c r="W30" s="97" t="n"/>
      <c r="X30" s="97" t="n"/>
      <c r="Y30" s="97" t="n"/>
      <c r="Z30" s="97" t="n"/>
    </row>
    <row r="31" ht="25.5" customHeight="1" s="101">
      <c r="A31" s="131" t="n">
        <v>9</v>
      </c>
      <c r="B31" s="41" t="inlineStr">
        <is>
          <t>H-003</t>
        </is>
      </c>
      <c r="C31" s="41" t="inlineStr">
        <is>
          <t>MLK PMT 10109</t>
        </is>
      </c>
      <c r="D31" s="40" t="inlineStr">
        <is>
          <t xml:space="preserve">Cooling of Water on Irrigation of An Absorber </t>
        </is>
      </c>
      <c r="E31" s="40" t="inlineStr">
        <is>
          <t>Channel</t>
        </is>
      </c>
      <c r="F31" s="41" t="inlineStr">
        <is>
          <t>Liquid</t>
        </is>
      </c>
      <c r="G31" s="40" t="n"/>
      <c r="H31" s="95" t="inlineStr">
        <is>
          <t>Stainless Steel</t>
        </is>
      </c>
      <c r="I31" s="40" t="n"/>
      <c r="J31" s="40" t="n"/>
      <c r="K31" s="41" t="n"/>
      <c r="L31" s="41" t="n"/>
      <c r="M31" s="96" t="n"/>
      <c r="N31" s="41" t="n">
        <v>40</v>
      </c>
      <c r="O31" s="41" t="n">
        <v>0.7</v>
      </c>
      <c r="P31" s="97" t="n"/>
      <c r="Q31" s="97" t="n"/>
      <c r="R31" s="97" t="n"/>
      <c r="S31" s="97" t="n"/>
      <c r="T31" s="97" t="n"/>
      <c r="U31" s="97" t="n"/>
      <c r="V31" s="97" t="n"/>
      <c r="W31" s="97" t="n"/>
      <c r="X31" s="97" t="n"/>
      <c r="Y31" s="97" t="n"/>
      <c r="Z31" s="97" t="n"/>
    </row>
    <row r="32" ht="25.5" customHeight="1" s="101">
      <c r="A32" s="120" t="n"/>
      <c r="B32" s="120" t="n"/>
      <c r="C32" s="120" t="n"/>
      <c r="D32" s="120" t="n"/>
      <c r="E32" s="40" t="inlineStr">
        <is>
          <t>Shell</t>
        </is>
      </c>
      <c r="F32" s="41" t="inlineStr">
        <is>
          <t>Liquid</t>
        </is>
      </c>
      <c r="G32" s="40" t="n"/>
      <c r="H32" s="95" t="inlineStr">
        <is>
          <t>Stainless Steel</t>
        </is>
      </c>
      <c r="I32" s="40" t="n"/>
      <c r="J32" s="40" t="n"/>
      <c r="K32" s="41" t="n"/>
      <c r="L32" s="41" t="n"/>
      <c r="M32" s="96" t="n"/>
      <c r="N32" s="41" t="n">
        <v>40</v>
      </c>
      <c r="O32" s="41" t="n">
        <v>0.25</v>
      </c>
      <c r="P32" s="97" t="n"/>
      <c r="Q32" s="97" t="n"/>
      <c r="R32" s="97" t="n"/>
      <c r="S32" s="97" t="n"/>
      <c r="T32" s="97" t="n"/>
      <c r="U32" s="97" t="n"/>
      <c r="V32" s="97" t="n"/>
      <c r="W32" s="97" t="n"/>
      <c r="X32" s="97" t="n"/>
      <c r="Y32" s="97" t="n"/>
      <c r="Z32" s="97" t="n"/>
    </row>
    <row r="33" ht="25.5" customHeight="1" s="101">
      <c r="A33" s="119" t="n"/>
      <c r="B33" s="119" t="n"/>
      <c r="C33" s="119" t="n"/>
      <c r="D33" s="119" t="n"/>
      <c r="E33" s="40" t="inlineStr">
        <is>
          <t>Tube Bundle</t>
        </is>
      </c>
      <c r="F33" s="41" t="inlineStr">
        <is>
          <t>Liquid</t>
        </is>
      </c>
      <c r="G33" s="40" t="n"/>
      <c r="H33" s="95" t="inlineStr">
        <is>
          <t>Stainless Steel</t>
        </is>
      </c>
      <c r="I33" s="40" t="n"/>
      <c r="J33" s="40" t="n"/>
      <c r="K33" s="41" t="n"/>
      <c r="L33" s="41" t="n"/>
      <c r="M33" s="96" t="n"/>
      <c r="N33" s="41" t="n">
        <v>40</v>
      </c>
      <c r="O33" s="41" t="n">
        <v>0.7</v>
      </c>
      <c r="P33" s="97" t="n"/>
      <c r="Q33" s="97" t="n"/>
      <c r="R33" s="97" t="n"/>
      <c r="S33" s="97" t="n"/>
      <c r="T33" s="97" t="n"/>
      <c r="U33" s="97" t="n"/>
      <c r="V33" s="97" t="n"/>
      <c r="W33" s="97" t="n"/>
      <c r="X33" s="97" t="n"/>
      <c r="Y33" s="97" t="n"/>
      <c r="Z33" s="97" t="n"/>
    </row>
    <row r="34" ht="25.5" customHeight="1" s="101">
      <c r="A34" s="131" t="n">
        <v>10</v>
      </c>
      <c r="B34" s="41" t="inlineStr">
        <is>
          <t>H-004</t>
        </is>
      </c>
      <c r="C34" s="41" t="inlineStr">
        <is>
          <t>MLK PMT 10110</t>
        </is>
      </c>
      <c r="D34" s="40" t="inlineStr">
        <is>
          <t>Reflux Condensor of Drying Tower</t>
        </is>
      </c>
      <c r="E34" s="40" t="inlineStr">
        <is>
          <t>Channel</t>
        </is>
      </c>
      <c r="F34" s="41" t="inlineStr">
        <is>
          <t>Liquid</t>
        </is>
      </c>
      <c r="G34" s="40" t="n"/>
      <c r="H34" s="95" t="inlineStr">
        <is>
          <t>Stainless Steel</t>
        </is>
      </c>
      <c r="I34" s="40" t="n"/>
      <c r="J34" s="40" t="n"/>
      <c r="K34" s="41" t="n"/>
      <c r="L34" s="41" t="n"/>
      <c r="M34" s="96" t="n"/>
      <c r="N34" s="41" t="n">
        <v>40</v>
      </c>
      <c r="O34" s="96" t="n">
        <v>0.5</v>
      </c>
      <c r="P34" s="97" t="n"/>
      <c r="Q34" s="97" t="n"/>
      <c r="R34" s="97" t="n"/>
      <c r="S34" s="97" t="n"/>
      <c r="T34" s="97" t="n"/>
      <c r="U34" s="97" t="n"/>
      <c r="V34" s="97" t="n"/>
      <c r="W34" s="97" t="n"/>
      <c r="X34" s="97" t="n"/>
      <c r="Y34" s="97" t="n"/>
      <c r="Z34" s="97" t="n"/>
    </row>
    <row r="35" ht="25.5" customHeight="1" s="101">
      <c r="A35" s="120" t="n"/>
      <c r="B35" s="120" t="n"/>
      <c r="C35" s="120" t="n"/>
      <c r="D35" s="120" t="n"/>
      <c r="E35" s="40" t="inlineStr">
        <is>
          <t>Shell</t>
        </is>
      </c>
      <c r="F35" s="41" t="inlineStr">
        <is>
          <t>Liquid</t>
        </is>
      </c>
      <c r="G35" s="40" t="n"/>
      <c r="H35" s="95" t="inlineStr">
        <is>
          <t>Stainless Steel</t>
        </is>
      </c>
      <c r="I35" s="40" t="n"/>
      <c r="J35" s="40" t="n"/>
      <c r="K35" s="41" t="n"/>
      <c r="L35" s="41" t="n"/>
      <c r="M35" s="96" t="n"/>
      <c r="N35" s="41" t="n">
        <v>50</v>
      </c>
      <c r="O35" s="96" t="n">
        <v>0.01</v>
      </c>
      <c r="P35" s="97" t="n"/>
      <c r="Q35" s="97" t="n"/>
      <c r="R35" s="97" t="n"/>
      <c r="S35" s="97" t="n"/>
      <c r="T35" s="97" t="n"/>
      <c r="U35" s="97" t="n"/>
      <c r="V35" s="97" t="n"/>
      <c r="W35" s="97" t="n"/>
      <c r="X35" s="97" t="n"/>
      <c r="Y35" s="97" t="n"/>
      <c r="Z35" s="97" t="n"/>
    </row>
    <row r="36" ht="25.5" customHeight="1" s="101">
      <c r="A36" s="119" t="n"/>
      <c r="B36" s="119" t="n"/>
      <c r="C36" s="119" t="n"/>
      <c r="D36" s="119" t="n"/>
      <c r="E36" s="40" t="inlineStr">
        <is>
          <t>Tube Bundle</t>
        </is>
      </c>
      <c r="F36" s="41" t="inlineStr">
        <is>
          <t>Liquid</t>
        </is>
      </c>
      <c r="G36" s="40" t="n"/>
      <c r="H36" s="95" t="inlineStr">
        <is>
          <t>Stainless Steel</t>
        </is>
      </c>
      <c r="I36" s="40" t="n"/>
      <c r="J36" s="40" t="n"/>
      <c r="K36" s="41" t="n"/>
      <c r="L36" s="41" t="n"/>
      <c r="M36" s="96" t="n"/>
      <c r="N36" s="41" t="n">
        <v>40</v>
      </c>
      <c r="O36" s="96" t="n">
        <v>0.5</v>
      </c>
      <c r="P36" s="97" t="n"/>
      <c r="Q36" s="97" t="n"/>
      <c r="R36" s="97" t="n"/>
      <c r="S36" s="97" t="n"/>
      <c r="T36" s="97" t="n"/>
      <c r="U36" s="97" t="n"/>
      <c r="V36" s="97" t="n"/>
      <c r="W36" s="97" t="n"/>
      <c r="X36" s="97" t="n"/>
      <c r="Y36" s="97" t="n"/>
      <c r="Z36" s="97" t="n"/>
    </row>
    <row r="37" ht="14.25" customHeight="1" s="101">
      <c r="A37" s="1" t="n"/>
      <c r="D37" s="2" t="n"/>
      <c r="E37" s="2" t="n"/>
      <c r="F37" s="1" t="n"/>
      <c r="G37" s="1" t="n"/>
      <c r="H37" s="3" t="n"/>
      <c r="I37" s="3" t="n"/>
    </row>
    <row r="38" ht="14.25" customHeight="1" s="101">
      <c r="A38" s="1" t="n"/>
      <c r="D38" s="2" t="n"/>
      <c r="E38" s="2" t="n"/>
      <c r="F38" s="1" t="n"/>
      <c r="G38" s="1" t="n"/>
      <c r="H38" s="3" t="n"/>
      <c r="I38" s="3" t="n"/>
    </row>
    <row r="39" ht="14.25" customHeight="1" s="101">
      <c r="A39" s="1" t="n"/>
      <c r="D39" s="2" t="n"/>
      <c r="E39" s="2" t="n"/>
      <c r="F39" s="1" t="n"/>
      <c r="G39" s="1" t="n"/>
      <c r="H39" s="3" t="n"/>
      <c r="I39" s="3" t="n"/>
    </row>
    <row r="40" ht="14.25" customHeight="1" s="101">
      <c r="A40" s="1" t="n"/>
      <c r="D40" s="2" t="n"/>
      <c r="E40" s="2" t="n"/>
      <c r="F40" s="1" t="n"/>
      <c r="G40" s="1" t="n"/>
      <c r="H40" s="3" t="n"/>
      <c r="I40" s="3" t="n"/>
    </row>
    <row r="41" ht="14.25" customHeight="1" s="101">
      <c r="A41" s="1" t="n"/>
      <c r="D41" s="2" t="n"/>
      <c r="E41" s="2" t="n"/>
      <c r="F41" s="1" t="n"/>
      <c r="G41" s="1" t="n"/>
      <c r="H41" s="3" t="n"/>
      <c r="I41" s="3" t="n"/>
    </row>
    <row r="42" ht="14.25" customHeight="1" s="101">
      <c r="A42" s="1" t="n"/>
      <c r="D42" s="2" t="n"/>
      <c r="E42" s="2" t="n"/>
      <c r="F42" s="1" t="n"/>
      <c r="G42" s="1" t="n"/>
      <c r="H42" s="3" t="n"/>
      <c r="I42" s="3" t="n"/>
    </row>
    <row r="43" ht="14.25" customHeight="1" s="101">
      <c r="A43" s="1" t="n"/>
      <c r="D43" s="2" t="n"/>
      <c r="E43" s="2" t="n"/>
      <c r="F43" s="1" t="n"/>
      <c r="G43" s="1" t="n"/>
      <c r="H43" s="3" t="n"/>
      <c r="I43" s="3" t="n"/>
    </row>
    <row r="44" ht="14.25" customHeight="1" s="101">
      <c r="A44" s="1" t="n"/>
      <c r="D44" s="2" t="n"/>
      <c r="E44" s="2" t="n"/>
      <c r="F44" s="1" t="n"/>
      <c r="G44" s="1" t="n"/>
      <c r="H44" s="3" t="n"/>
      <c r="I44" s="3" t="n"/>
    </row>
    <row r="45" ht="14.25" customHeight="1" s="101">
      <c r="A45" s="1" t="n"/>
      <c r="D45" s="2" t="n"/>
      <c r="E45" s="2" t="n"/>
      <c r="F45" s="1" t="n"/>
      <c r="G45" s="1" t="n"/>
      <c r="H45" s="3" t="n"/>
      <c r="I45" s="3" t="n"/>
    </row>
    <row r="46" ht="14.25" customHeight="1" s="101">
      <c r="A46" s="1" t="n"/>
      <c r="D46" s="2" t="n"/>
      <c r="E46" s="2" t="n"/>
      <c r="F46" s="1" t="n"/>
      <c r="G46" s="1" t="n"/>
      <c r="H46" s="3" t="n"/>
      <c r="I46" s="3" t="n"/>
    </row>
    <row r="47" ht="14.25" customHeight="1" s="101">
      <c r="A47" s="1" t="n"/>
      <c r="D47" s="2" t="n"/>
      <c r="E47" s="2" t="n"/>
      <c r="F47" s="1" t="n"/>
      <c r="G47" s="1" t="n"/>
      <c r="H47" s="3" t="n"/>
      <c r="I47" s="3" t="n"/>
    </row>
    <row r="48" ht="14.25" customHeight="1" s="101">
      <c r="A48" s="1" t="n"/>
      <c r="D48" s="2" t="n"/>
      <c r="E48" s="2" t="n"/>
      <c r="F48" s="1" t="n"/>
      <c r="G48" s="1" t="n"/>
      <c r="H48" s="3" t="n"/>
      <c r="I48" s="3" t="n"/>
    </row>
    <row r="49" ht="14.25" customHeight="1" s="101">
      <c r="A49" s="1" t="n"/>
      <c r="D49" s="2" t="n"/>
      <c r="E49" s="2" t="n"/>
      <c r="F49" s="1" t="n"/>
      <c r="G49" s="1" t="n"/>
      <c r="H49" s="3" t="n"/>
      <c r="I49" s="3" t="n"/>
    </row>
    <row r="50" ht="14.25" customHeight="1" s="101">
      <c r="A50" s="1" t="n"/>
      <c r="D50" s="2" t="n"/>
      <c r="E50" s="2" t="n"/>
      <c r="F50" s="1" t="n"/>
      <c r="G50" s="1" t="n"/>
      <c r="H50" s="3" t="n"/>
      <c r="I50" s="3" t="n"/>
    </row>
    <row r="51" ht="14.25" customHeight="1" s="101">
      <c r="A51" s="1" t="n"/>
      <c r="D51" s="2" t="n"/>
      <c r="E51" s="2" t="n"/>
      <c r="F51" s="1" t="n"/>
      <c r="G51" s="1" t="n"/>
      <c r="H51" s="3" t="n"/>
      <c r="I51" s="3" t="n"/>
    </row>
    <row r="52" ht="14.25" customHeight="1" s="101">
      <c r="A52" s="1" t="n"/>
      <c r="D52" s="2" t="n"/>
      <c r="E52" s="2" t="n"/>
      <c r="F52" s="1" t="n"/>
      <c r="G52" s="1" t="n"/>
      <c r="H52" s="3" t="n"/>
      <c r="I52" s="3" t="n"/>
    </row>
    <row r="53" ht="14.25" customHeight="1" s="101">
      <c r="A53" s="1" t="n"/>
      <c r="D53" s="2" t="n"/>
      <c r="E53" s="2" t="n"/>
      <c r="F53" s="1" t="n"/>
      <c r="G53" s="1" t="n"/>
      <c r="H53" s="3" t="n"/>
      <c r="I53" s="3" t="n"/>
    </row>
    <row r="54" ht="14.25" customHeight="1" s="101">
      <c r="A54" s="1" t="n"/>
      <c r="D54" s="2" t="n"/>
      <c r="E54" s="2" t="n"/>
      <c r="F54" s="1" t="n"/>
      <c r="G54" s="1" t="n"/>
      <c r="H54" s="3" t="n"/>
      <c r="I54" s="3" t="n"/>
    </row>
    <row r="55" ht="14.25" customHeight="1" s="101">
      <c r="A55" s="1" t="n"/>
      <c r="D55" s="2" t="n"/>
      <c r="E55" s="2" t="n"/>
      <c r="F55" s="1" t="n"/>
      <c r="G55" s="1" t="n"/>
      <c r="H55" s="3" t="n"/>
      <c r="I55" s="3" t="n"/>
    </row>
    <row r="56" ht="14.25" customHeight="1" s="101">
      <c r="A56" s="1" t="n"/>
      <c r="D56" s="2" t="n"/>
      <c r="E56" s="2" t="n"/>
      <c r="F56" s="1" t="n"/>
      <c r="G56" s="1" t="n"/>
      <c r="H56" s="3" t="n"/>
      <c r="I56" s="3" t="n"/>
    </row>
    <row r="57" ht="14.25" customHeight="1" s="101">
      <c r="A57" s="1" t="n"/>
      <c r="D57" s="2" t="n"/>
      <c r="E57" s="2" t="n"/>
      <c r="F57" s="1" t="n"/>
      <c r="G57" s="1" t="n"/>
      <c r="H57" s="3" t="n"/>
      <c r="I57" s="3" t="n"/>
    </row>
    <row r="58" ht="14.25" customHeight="1" s="101">
      <c r="A58" s="1" t="n"/>
      <c r="D58" s="2" t="n"/>
      <c r="E58" s="2" t="n"/>
      <c r="F58" s="1" t="n"/>
      <c r="G58" s="1" t="n"/>
      <c r="H58" s="3" t="n"/>
      <c r="I58" s="3" t="n"/>
    </row>
    <row r="59" ht="14.25" customHeight="1" s="101">
      <c r="A59" s="1" t="n"/>
      <c r="D59" s="2" t="n"/>
      <c r="E59" s="2" t="n"/>
      <c r="F59" s="1" t="n"/>
      <c r="G59" s="1" t="n"/>
      <c r="H59" s="3" t="n"/>
      <c r="I59" s="3" t="n"/>
    </row>
    <row r="60" ht="14.25" customHeight="1" s="101">
      <c r="A60" s="1" t="n"/>
      <c r="D60" s="2" t="n"/>
      <c r="E60" s="2" t="n"/>
      <c r="F60" s="1" t="n"/>
      <c r="G60" s="1" t="n"/>
      <c r="H60" s="3" t="n"/>
      <c r="I60" s="3" t="n"/>
    </row>
    <row r="61" ht="14.25" customHeight="1" s="101">
      <c r="A61" s="1" t="n"/>
      <c r="D61" s="2" t="n"/>
      <c r="E61" s="2" t="n"/>
      <c r="F61" s="1" t="n"/>
      <c r="G61" s="1" t="n"/>
      <c r="H61" s="3" t="n"/>
      <c r="I61" s="3" t="n"/>
    </row>
    <row r="62" ht="14.25" customHeight="1" s="101">
      <c r="A62" s="1" t="n"/>
      <c r="D62" s="2" t="n"/>
      <c r="E62" s="2" t="n"/>
      <c r="F62" s="1" t="n"/>
      <c r="G62" s="1" t="n"/>
      <c r="H62" s="3" t="n"/>
      <c r="I62" s="3" t="n"/>
    </row>
    <row r="63" ht="14.25" customHeight="1" s="101">
      <c r="A63" s="1" t="n"/>
      <c r="D63" s="2" t="n"/>
      <c r="E63" s="2" t="n"/>
      <c r="F63" s="1" t="n"/>
      <c r="G63" s="1" t="n"/>
      <c r="H63" s="3" t="n"/>
      <c r="I63" s="3" t="n"/>
    </row>
    <row r="64" ht="14.25" customHeight="1" s="101">
      <c r="A64" s="1" t="n"/>
      <c r="D64" s="2" t="n"/>
      <c r="E64" s="2" t="n"/>
      <c r="F64" s="1" t="n"/>
      <c r="G64" s="1" t="n"/>
      <c r="H64" s="3" t="n"/>
      <c r="I64" s="3" t="n"/>
    </row>
    <row r="65" ht="14.25" customHeight="1" s="101">
      <c r="A65" s="1" t="n"/>
      <c r="D65" s="2" t="n"/>
      <c r="E65" s="2" t="n"/>
      <c r="F65" s="1" t="n"/>
      <c r="G65" s="1" t="n"/>
      <c r="H65" s="3" t="n"/>
      <c r="I65" s="3" t="n"/>
    </row>
    <row r="66" ht="14.25" customHeight="1" s="101">
      <c r="A66" s="1" t="n"/>
      <c r="D66" s="2" t="n"/>
      <c r="E66" s="2" t="n"/>
      <c r="F66" s="1" t="n"/>
      <c r="G66" s="1" t="n"/>
      <c r="H66" s="3" t="n"/>
      <c r="I66" s="3" t="n"/>
    </row>
    <row r="67" ht="14.25" customHeight="1" s="101">
      <c r="A67" s="1" t="n"/>
      <c r="D67" s="2" t="n"/>
      <c r="E67" s="2" t="n"/>
      <c r="F67" s="1" t="n"/>
      <c r="G67" s="1" t="n"/>
      <c r="H67" s="3" t="n"/>
      <c r="I67" s="3" t="n"/>
    </row>
    <row r="68" ht="14.25" customHeight="1" s="101">
      <c r="A68" s="1" t="n"/>
      <c r="D68" s="2" t="n"/>
      <c r="E68" s="2" t="n"/>
      <c r="F68" s="1" t="n"/>
      <c r="G68" s="1" t="n"/>
      <c r="H68" s="3" t="n"/>
      <c r="I68" s="3" t="n"/>
    </row>
    <row r="69" ht="14.25" customHeight="1" s="101">
      <c r="A69" s="1" t="n"/>
      <c r="D69" s="2" t="n"/>
      <c r="E69" s="2" t="n"/>
      <c r="F69" s="1" t="n"/>
      <c r="G69" s="1" t="n"/>
      <c r="H69" s="3" t="n"/>
      <c r="I69" s="3" t="n"/>
    </row>
    <row r="70" ht="14.25" customHeight="1" s="101">
      <c r="A70" s="1" t="n"/>
      <c r="D70" s="2" t="n"/>
      <c r="E70" s="2" t="n"/>
      <c r="F70" s="1" t="n"/>
      <c r="G70" s="1" t="n"/>
      <c r="H70" s="3" t="n"/>
      <c r="I70" s="3" t="n"/>
    </row>
    <row r="71" ht="14.25" customHeight="1" s="101">
      <c r="A71" s="1" t="n"/>
      <c r="D71" s="2" t="n"/>
      <c r="E71" s="2" t="n"/>
      <c r="F71" s="1" t="n"/>
      <c r="G71" s="1" t="n"/>
      <c r="H71" s="3" t="n"/>
      <c r="I71" s="3" t="n"/>
    </row>
    <row r="72" ht="14.25" customHeight="1" s="101">
      <c r="A72" s="1" t="n"/>
      <c r="D72" s="2" t="n"/>
      <c r="E72" s="2" t="n"/>
      <c r="F72" s="1" t="n"/>
      <c r="G72" s="1" t="n"/>
      <c r="H72" s="3" t="n"/>
      <c r="I72" s="3" t="n"/>
    </row>
    <row r="73" ht="14.25" customHeight="1" s="101">
      <c r="A73" s="1" t="n"/>
      <c r="D73" s="2" t="n"/>
      <c r="E73" s="2" t="n"/>
      <c r="F73" s="1" t="n"/>
      <c r="G73" s="1" t="n"/>
      <c r="H73" s="3" t="n"/>
      <c r="I73" s="3" t="n"/>
    </row>
    <row r="74" ht="14.25" customHeight="1" s="101">
      <c r="A74" s="1" t="n"/>
      <c r="D74" s="2" t="n"/>
      <c r="E74" s="2" t="n"/>
      <c r="F74" s="1" t="n"/>
      <c r="G74" s="1" t="n"/>
      <c r="H74" s="3" t="n"/>
      <c r="I74" s="3" t="n"/>
    </row>
    <row r="75" ht="14.25" customHeight="1" s="101">
      <c r="A75" s="1" t="n"/>
      <c r="D75" s="2" t="n"/>
      <c r="E75" s="2" t="n"/>
      <c r="F75" s="1" t="n"/>
      <c r="G75" s="1" t="n"/>
      <c r="H75" s="3" t="n"/>
      <c r="I75" s="3" t="n"/>
    </row>
    <row r="76" ht="14.25" customHeight="1" s="101">
      <c r="A76" s="1" t="n"/>
      <c r="D76" s="2" t="n"/>
      <c r="E76" s="2" t="n"/>
      <c r="F76" s="1" t="n"/>
      <c r="G76" s="1" t="n"/>
      <c r="H76" s="3" t="n"/>
      <c r="I76" s="3" t="n"/>
    </row>
    <row r="77" ht="14.25" customHeight="1" s="101">
      <c r="A77" s="1" t="n"/>
      <c r="D77" s="2" t="n"/>
      <c r="E77" s="2" t="n"/>
      <c r="F77" s="1" t="n"/>
      <c r="G77" s="1" t="n"/>
      <c r="H77" s="3" t="n"/>
      <c r="I77" s="3" t="n"/>
    </row>
    <row r="78" ht="14.25" customHeight="1" s="101">
      <c r="A78" s="1" t="n"/>
      <c r="D78" s="2" t="n"/>
      <c r="E78" s="2" t="n"/>
      <c r="F78" s="1" t="n"/>
      <c r="G78" s="1" t="n"/>
      <c r="H78" s="3" t="n"/>
      <c r="I78" s="3" t="n"/>
    </row>
    <row r="79" ht="14.25" customHeight="1" s="101">
      <c r="A79" s="1" t="n"/>
      <c r="D79" s="2" t="n"/>
      <c r="E79" s="2" t="n"/>
      <c r="F79" s="1" t="n"/>
      <c r="G79" s="1" t="n"/>
      <c r="H79" s="3" t="n"/>
      <c r="I79" s="3" t="n"/>
    </row>
    <row r="80" ht="14.25" customHeight="1" s="101">
      <c r="A80" s="1" t="n"/>
      <c r="D80" s="2" t="n"/>
      <c r="E80" s="2" t="n"/>
      <c r="F80" s="1" t="n"/>
      <c r="G80" s="1" t="n"/>
      <c r="H80" s="3" t="n"/>
      <c r="I80" s="3" t="n"/>
    </row>
    <row r="81" ht="14.25" customHeight="1" s="101">
      <c r="A81" s="1" t="n"/>
      <c r="D81" s="2" t="n"/>
      <c r="E81" s="2" t="n"/>
      <c r="F81" s="1" t="n"/>
      <c r="G81" s="1" t="n"/>
      <c r="H81" s="3" t="n"/>
      <c r="I81" s="3" t="n"/>
    </row>
    <row r="82" ht="14.25" customHeight="1" s="101">
      <c r="A82" s="1" t="n"/>
      <c r="D82" s="2" t="n"/>
      <c r="E82" s="2" t="n"/>
      <c r="F82" s="1" t="n"/>
      <c r="G82" s="1" t="n"/>
      <c r="H82" s="3" t="n"/>
      <c r="I82" s="3" t="n"/>
    </row>
    <row r="83" ht="14.25" customHeight="1" s="101">
      <c r="A83" s="1" t="n"/>
      <c r="D83" s="2" t="n"/>
      <c r="E83" s="2" t="n"/>
      <c r="F83" s="1" t="n"/>
      <c r="G83" s="1" t="n"/>
      <c r="H83" s="3" t="n"/>
      <c r="I83" s="3" t="n"/>
    </row>
    <row r="84" ht="14.25" customHeight="1" s="101">
      <c r="A84" s="1" t="n"/>
      <c r="D84" s="2" t="n"/>
      <c r="E84" s="2" t="n"/>
      <c r="F84" s="1" t="n"/>
      <c r="G84" s="1" t="n"/>
      <c r="H84" s="3" t="n"/>
      <c r="I84" s="3" t="n"/>
    </row>
    <row r="85" ht="14.25" customHeight="1" s="101">
      <c r="A85" s="1" t="n"/>
      <c r="D85" s="2" t="n"/>
      <c r="E85" s="2" t="n"/>
      <c r="F85" s="1" t="n"/>
      <c r="G85" s="1" t="n"/>
      <c r="H85" s="3" t="n"/>
      <c r="I85" s="3" t="n"/>
    </row>
    <row r="86" ht="14.25" customHeight="1" s="101">
      <c r="A86" s="1" t="n"/>
      <c r="D86" s="2" t="n"/>
      <c r="E86" s="2" t="n"/>
      <c r="F86" s="1" t="n"/>
      <c r="G86" s="1" t="n"/>
      <c r="H86" s="3" t="n"/>
      <c r="I86" s="3" t="n"/>
    </row>
    <row r="87" ht="14.25" customHeight="1" s="101">
      <c r="A87" s="1" t="n"/>
      <c r="D87" s="2" t="n"/>
      <c r="E87" s="2" t="n"/>
      <c r="F87" s="1" t="n"/>
      <c r="G87" s="1" t="n"/>
      <c r="H87" s="3" t="n"/>
      <c r="I87" s="3" t="n"/>
    </row>
    <row r="88" ht="14.25" customHeight="1" s="101">
      <c r="A88" s="1" t="n"/>
      <c r="D88" s="2" t="n"/>
      <c r="E88" s="2" t="n"/>
      <c r="F88" s="1" t="n"/>
      <c r="G88" s="1" t="n"/>
      <c r="H88" s="3" t="n"/>
      <c r="I88" s="3" t="n"/>
    </row>
    <row r="89" ht="14.25" customHeight="1" s="101">
      <c r="A89" s="1" t="n"/>
      <c r="D89" s="2" t="n"/>
      <c r="E89" s="2" t="n"/>
      <c r="F89" s="1" t="n"/>
      <c r="G89" s="1" t="n"/>
      <c r="H89" s="3" t="n"/>
      <c r="I89" s="3" t="n"/>
    </row>
    <row r="90" ht="14.25" customHeight="1" s="101">
      <c r="A90" s="1" t="n"/>
      <c r="D90" s="2" t="n"/>
      <c r="E90" s="2" t="n"/>
      <c r="F90" s="1" t="n"/>
      <c r="G90" s="1" t="n"/>
      <c r="H90" s="3" t="n"/>
      <c r="I90" s="3" t="n"/>
    </row>
    <row r="91" ht="14.25" customHeight="1" s="101">
      <c r="A91" s="1" t="n"/>
      <c r="D91" s="2" t="n"/>
      <c r="E91" s="2" t="n"/>
      <c r="F91" s="1" t="n"/>
      <c r="G91" s="1" t="n"/>
      <c r="H91" s="3" t="n"/>
      <c r="I91" s="3" t="n"/>
    </row>
    <row r="92" ht="14.25" customHeight="1" s="101">
      <c r="A92" s="1" t="n"/>
      <c r="D92" s="2" t="n"/>
      <c r="E92" s="2" t="n"/>
      <c r="F92" s="1" t="n"/>
      <c r="G92" s="1" t="n"/>
      <c r="H92" s="3" t="n"/>
      <c r="I92" s="3" t="n"/>
    </row>
    <row r="93" ht="14.25" customHeight="1" s="101">
      <c r="A93" s="1" t="n"/>
      <c r="D93" s="2" t="n"/>
      <c r="E93" s="2" t="n"/>
      <c r="F93" s="1" t="n"/>
      <c r="G93" s="1" t="n"/>
      <c r="H93" s="3" t="n"/>
      <c r="I93" s="3" t="n"/>
    </row>
    <row r="94" ht="14.25" customHeight="1" s="101">
      <c r="A94" s="1" t="n"/>
      <c r="D94" s="2" t="n"/>
      <c r="E94" s="2" t="n"/>
      <c r="F94" s="1" t="n"/>
      <c r="G94" s="1" t="n"/>
      <c r="H94" s="3" t="n"/>
      <c r="I94" s="3" t="n"/>
    </row>
    <row r="95" ht="14.25" customHeight="1" s="101">
      <c r="A95" s="1" t="n"/>
      <c r="D95" s="2" t="n"/>
      <c r="E95" s="2" t="n"/>
      <c r="F95" s="1" t="n"/>
      <c r="G95" s="1" t="n"/>
      <c r="H95" s="3" t="n"/>
      <c r="I95" s="3" t="n"/>
    </row>
    <row r="96" ht="14.25" customHeight="1" s="101">
      <c r="A96" s="1" t="n"/>
      <c r="D96" s="2" t="n"/>
      <c r="E96" s="2" t="n"/>
      <c r="F96" s="1" t="n"/>
      <c r="G96" s="1" t="n"/>
      <c r="H96" s="3" t="n"/>
      <c r="I96" s="3" t="n"/>
    </row>
    <row r="97" ht="14.25" customHeight="1" s="101">
      <c r="A97" s="1" t="n"/>
      <c r="D97" s="2" t="n"/>
      <c r="E97" s="2" t="n"/>
      <c r="F97" s="1" t="n"/>
      <c r="G97" s="1" t="n"/>
      <c r="H97" s="3" t="n"/>
      <c r="I97" s="3" t="n"/>
    </row>
    <row r="98" ht="14.25" customHeight="1" s="101">
      <c r="A98" s="1" t="n"/>
      <c r="D98" s="2" t="n"/>
      <c r="E98" s="2" t="n"/>
      <c r="F98" s="1" t="n"/>
      <c r="G98" s="1" t="n"/>
      <c r="H98" s="3" t="n"/>
      <c r="I98" s="3" t="n"/>
    </row>
    <row r="99" ht="14.25" customHeight="1" s="101">
      <c r="A99" s="1" t="n"/>
      <c r="D99" s="2" t="n"/>
      <c r="E99" s="2" t="n"/>
      <c r="F99" s="1" t="n"/>
      <c r="G99" s="1" t="n"/>
      <c r="H99" s="3" t="n"/>
      <c r="I99" s="3" t="n"/>
    </row>
    <row r="100" ht="14.25" customHeight="1" s="101">
      <c r="A100" s="1" t="n"/>
      <c r="D100" s="2" t="n"/>
      <c r="E100" s="2" t="n"/>
      <c r="F100" s="1" t="n"/>
      <c r="G100" s="1" t="n"/>
      <c r="H100" s="3" t="n"/>
      <c r="I100" s="3" t="n"/>
    </row>
    <row r="101" ht="14.25" customHeight="1" s="101">
      <c r="A101" s="1" t="n"/>
      <c r="D101" s="2" t="n"/>
      <c r="E101" s="2" t="n"/>
      <c r="F101" s="1" t="n"/>
      <c r="G101" s="1" t="n"/>
      <c r="H101" s="3" t="n"/>
      <c r="I101" s="3" t="n"/>
    </row>
    <row r="102" ht="14.25" customHeight="1" s="101">
      <c r="A102" s="1" t="n"/>
      <c r="D102" s="2" t="n"/>
      <c r="E102" s="2" t="n"/>
      <c r="F102" s="1" t="n"/>
      <c r="G102" s="1" t="n"/>
      <c r="H102" s="3" t="n"/>
      <c r="I102" s="3" t="n"/>
    </row>
    <row r="103" ht="14.25" customHeight="1" s="101">
      <c r="A103" s="1" t="n"/>
      <c r="D103" s="2" t="n"/>
      <c r="E103" s="2" t="n"/>
      <c r="F103" s="1" t="n"/>
      <c r="G103" s="1" t="n"/>
      <c r="H103" s="3" t="n"/>
      <c r="I103" s="3" t="n"/>
    </row>
    <row r="104" ht="14.25" customHeight="1" s="101">
      <c r="A104" s="1" t="n"/>
      <c r="D104" s="2" t="n"/>
      <c r="E104" s="2" t="n"/>
      <c r="F104" s="1" t="n"/>
      <c r="G104" s="1" t="n"/>
      <c r="H104" s="3" t="n"/>
      <c r="I104" s="3" t="n"/>
    </row>
    <row r="105" ht="14.25" customHeight="1" s="101">
      <c r="A105" s="1" t="n"/>
      <c r="D105" s="2" t="n"/>
      <c r="E105" s="2" t="n"/>
      <c r="F105" s="1" t="n"/>
      <c r="G105" s="1" t="n"/>
      <c r="H105" s="3" t="n"/>
      <c r="I105" s="3" t="n"/>
    </row>
    <row r="106" ht="14.25" customHeight="1" s="101">
      <c r="A106" s="1" t="n"/>
      <c r="D106" s="2" t="n"/>
      <c r="E106" s="2" t="n"/>
      <c r="F106" s="1" t="n"/>
      <c r="G106" s="1" t="n"/>
      <c r="H106" s="3" t="n"/>
      <c r="I106" s="3" t="n"/>
    </row>
    <row r="107" ht="14.25" customHeight="1" s="101">
      <c r="A107" s="1" t="n"/>
      <c r="D107" s="2" t="n"/>
      <c r="E107" s="2" t="n"/>
      <c r="F107" s="1" t="n"/>
      <c r="G107" s="1" t="n"/>
      <c r="H107" s="3" t="n"/>
      <c r="I107" s="3" t="n"/>
    </row>
    <row r="108" ht="14.25" customHeight="1" s="101">
      <c r="A108" s="1" t="n"/>
      <c r="D108" s="2" t="n"/>
      <c r="E108" s="2" t="n"/>
      <c r="F108" s="1" t="n"/>
      <c r="G108" s="1" t="n"/>
      <c r="H108" s="3" t="n"/>
      <c r="I108" s="3" t="n"/>
    </row>
    <row r="109" ht="14.25" customHeight="1" s="101">
      <c r="A109" s="1" t="n"/>
      <c r="D109" s="2" t="n"/>
      <c r="E109" s="2" t="n"/>
      <c r="F109" s="1" t="n"/>
      <c r="G109" s="1" t="n"/>
      <c r="H109" s="3" t="n"/>
      <c r="I109" s="3" t="n"/>
    </row>
    <row r="110" ht="14.25" customHeight="1" s="101">
      <c r="A110" s="1" t="n"/>
      <c r="D110" s="2" t="n"/>
      <c r="E110" s="2" t="n"/>
      <c r="F110" s="1" t="n"/>
      <c r="G110" s="1" t="n"/>
      <c r="H110" s="3" t="n"/>
      <c r="I110" s="3" t="n"/>
    </row>
    <row r="111" ht="14.25" customHeight="1" s="101">
      <c r="A111" s="1" t="n"/>
      <c r="D111" s="2" t="n"/>
      <c r="E111" s="2" t="n"/>
      <c r="F111" s="1" t="n"/>
      <c r="G111" s="1" t="n"/>
      <c r="H111" s="3" t="n"/>
      <c r="I111" s="3" t="n"/>
    </row>
    <row r="112" ht="14.25" customHeight="1" s="101">
      <c r="A112" s="1" t="n"/>
      <c r="D112" s="2" t="n"/>
      <c r="E112" s="2" t="n"/>
      <c r="F112" s="1" t="n"/>
      <c r="G112" s="1" t="n"/>
      <c r="H112" s="3" t="n"/>
      <c r="I112" s="3" t="n"/>
    </row>
    <row r="113" ht="14.25" customHeight="1" s="101">
      <c r="A113" s="1" t="n"/>
      <c r="D113" s="2" t="n"/>
      <c r="E113" s="2" t="n"/>
      <c r="F113" s="1" t="n"/>
      <c r="G113" s="1" t="n"/>
      <c r="H113" s="3" t="n"/>
      <c r="I113" s="3" t="n"/>
    </row>
    <row r="114" ht="14.25" customHeight="1" s="101">
      <c r="A114" s="1" t="n"/>
      <c r="D114" s="2" t="n"/>
      <c r="E114" s="2" t="n"/>
      <c r="F114" s="1" t="n"/>
      <c r="G114" s="1" t="n"/>
      <c r="H114" s="3" t="n"/>
      <c r="I114" s="3" t="n"/>
    </row>
    <row r="115" ht="14.25" customHeight="1" s="101">
      <c r="A115" s="1" t="n"/>
      <c r="D115" s="2" t="n"/>
      <c r="E115" s="2" t="n"/>
      <c r="F115" s="1" t="n"/>
      <c r="G115" s="1" t="n"/>
      <c r="H115" s="3" t="n"/>
      <c r="I115" s="3" t="n"/>
    </row>
    <row r="116" ht="14.25" customHeight="1" s="101">
      <c r="A116" s="1" t="n"/>
      <c r="D116" s="2" t="n"/>
      <c r="E116" s="2" t="n"/>
      <c r="F116" s="1" t="n"/>
      <c r="G116" s="1" t="n"/>
      <c r="H116" s="3" t="n"/>
      <c r="I116" s="3" t="n"/>
    </row>
    <row r="117" ht="14.25" customHeight="1" s="101">
      <c r="A117" s="1" t="n"/>
      <c r="D117" s="2" t="n"/>
      <c r="E117" s="2" t="n"/>
      <c r="F117" s="1" t="n"/>
      <c r="G117" s="1" t="n"/>
      <c r="H117" s="3" t="n"/>
      <c r="I117" s="3" t="n"/>
    </row>
    <row r="118" ht="14.25" customHeight="1" s="101">
      <c r="A118" s="1" t="n"/>
      <c r="D118" s="2" t="n"/>
      <c r="E118" s="2" t="n"/>
      <c r="F118" s="1" t="n"/>
      <c r="G118" s="1" t="n"/>
      <c r="H118" s="3" t="n"/>
      <c r="I118" s="3" t="n"/>
    </row>
    <row r="119" ht="14.25" customHeight="1" s="101">
      <c r="A119" s="1" t="n"/>
      <c r="D119" s="2" t="n"/>
      <c r="E119" s="2" t="n"/>
      <c r="F119" s="1" t="n"/>
      <c r="G119" s="1" t="n"/>
      <c r="H119" s="3" t="n"/>
      <c r="I119" s="3" t="n"/>
    </row>
    <row r="120" ht="14.25" customHeight="1" s="101">
      <c r="A120" s="1" t="n"/>
      <c r="D120" s="2" t="n"/>
      <c r="E120" s="2" t="n"/>
      <c r="F120" s="1" t="n"/>
      <c r="G120" s="1" t="n"/>
      <c r="H120" s="3" t="n"/>
      <c r="I120" s="3" t="n"/>
    </row>
    <row r="121" ht="14.25" customHeight="1" s="101">
      <c r="A121" s="1" t="n"/>
      <c r="D121" s="2" t="n"/>
      <c r="E121" s="2" t="n"/>
      <c r="F121" s="1" t="n"/>
      <c r="G121" s="1" t="n"/>
      <c r="H121" s="3" t="n"/>
      <c r="I121" s="3" t="n"/>
    </row>
    <row r="122" ht="14.25" customHeight="1" s="101">
      <c r="A122" s="1" t="n"/>
      <c r="D122" s="2" t="n"/>
      <c r="E122" s="2" t="n"/>
      <c r="F122" s="1" t="n"/>
      <c r="G122" s="1" t="n"/>
      <c r="H122" s="3" t="n"/>
      <c r="I122" s="3" t="n"/>
    </row>
    <row r="123" ht="14.25" customHeight="1" s="101">
      <c r="A123" s="1" t="n"/>
      <c r="D123" s="2" t="n"/>
      <c r="E123" s="2" t="n"/>
      <c r="F123" s="1" t="n"/>
      <c r="G123" s="1" t="n"/>
      <c r="H123" s="3" t="n"/>
      <c r="I123" s="3" t="n"/>
    </row>
    <row r="124" ht="14.25" customHeight="1" s="101">
      <c r="A124" s="1" t="n"/>
      <c r="D124" s="2" t="n"/>
      <c r="E124" s="2" t="n"/>
      <c r="F124" s="1" t="n"/>
      <c r="G124" s="1" t="n"/>
      <c r="H124" s="3" t="n"/>
      <c r="I124" s="3" t="n"/>
    </row>
    <row r="125" ht="14.25" customHeight="1" s="101">
      <c r="A125" s="1" t="n"/>
      <c r="D125" s="2" t="n"/>
      <c r="E125" s="2" t="n"/>
      <c r="F125" s="1" t="n"/>
      <c r="G125" s="1" t="n"/>
      <c r="H125" s="3" t="n"/>
      <c r="I125" s="3" t="n"/>
    </row>
    <row r="126" ht="14.25" customHeight="1" s="101">
      <c r="A126" s="1" t="n"/>
      <c r="D126" s="2" t="n"/>
      <c r="E126" s="2" t="n"/>
      <c r="F126" s="1" t="n"/>
      <c r="G126" s="1" t="n"/>
      <c r="H126" s="3" t="n"/>
      <c r="I126" s="3" t="n"/>
    </row>
    <row r="127" ht="14.25" customHeight="1" s="101">
      <c r="A127" s="1" t="n"/>
      <c r="D127" s="2" t="n"/>
      <c r="E127" s="2" t="n"/>
      <c r="F127" s="1" t="n"/>
      <c r="G127" s="1" t="n"/>
      <c r="H127" s="3" t="n"/>
      <c r="I127" s="3" t="n"/>
    </row>
    <row r="128" ht="14.25" customHeight="1" s="101">
      <c r="A128" s="1" t="n"/>
      <c r="D128" s="2" t="n"/>
      <c r="E128" s="2" t="n"/>
      <c r="F128" s="1" t="n"/>
      <c r="G128" s="1" t="n"/>
      <c r="H128" s="3" t="n"/>
      <c r="I128" s="3" t="n"/>
    </row>
    <row r="129" ht="14.25" customHeight="1" s="101">
      <c r="A129" s="1" t="n"/>
      <c r="D129" s="2" t="n"/>
      <c r="E129" s="2" t="n"/>
      <c r="F129" s="1" t="n"/>
      <c r="G129" s="1" t="n"/>
      <c r="H129" s="3" t="n"/>
      <c r="I129" s="3" t="n"/>
    </row>
    <row r="130" ht="14.25" customHeight="1" s="101">
      <c r="A130" s="1" t="n"/>
      <c r="D130" s="2" t="n"/>
      <c r="E130" s="2" t="n"/>
      <c r="F130" s="1" t="n"/>
      <c r="G130" s="1" t="n"/>
      <c r="H130" s="3" t="n"/>
      <c r="I130" s="3" t="n"/>
    </row>
    <row r="131" ht="14.25" customHeight="1" s="101">
      <c r="A131" s="1" t="n"/>
      <c r="D131" s="2" t="n"/>
      <c r="E131" s="2" t="n"/>
      <c r="F131" s="1" t="n"/>
      <c r="G131" s="1" t="n"/>
      <c r="H131" s="3" t="n"/>
      <c r="I131" s="3" t="n"/>
    </row>
    <row r="132" ht="14.25" customHeight="1" s="101">
      <c r="A132" s="1" t="n"/>
      <c r="D132" s="2" t="n"/>
      <c r="E132" s="2" t="n"/>
      <c r="F132" s="1" t="n"/>
      <c r="G132" s="1" t="n"/>
      <c r="H132" s="3" t="n"/>
      <c r="I132" s="3" t="n"/>
    </row>
    <row r="133" ht="14.25" customHeight="1" s="101">
      <c r="A133" s="1" t="n"/>
      <c r="D133" s="2" t="n"/>
      <c r="E133" s="2" t="n"/>
      <c r="F133" s="1" t="n"/>
      <c r="G133" s="1" t="n"/>
      <c r="H133" s="3" t="n"/>
      <c r="I133" s="3" t="n"/>
    </row>
    <row r="134" ht="14.25" customHeight="1" s="101">
      <c r="A134" s="1" t="n"/>
      <c r="D134" s="2" t="n"/>
      <c r="E134" s="2" t="n"/>
      <c r="F134" s="1" t="n"/>
      <c r="G134" s="1" t="n"/>
      <c r="H134" s="3" t="n"/>
      <c r="I134" s="3" t="n"/>
    </row>
    <row r="135" ht="14.25" customHeight="1" s="101">
      <c r="A135" s="1" t="n"/>
      <c r="D135" s="2" t="n"/>
      <c r="E135" s="2" t="n"/>
      <c r="F135" s="1" t="n"/>
      <c r="G135" s="1" t="n"/>
      <c r="H135" s="3" t="n"/>
      <c r="I135" s="3" t="n"/>
    </row>
    <row r="136" ht="14.25" customHeight="1" s="101">
      <c r="A136" s="1" t="n"/>
      <c r="D136" s="2" t="n"/>
      <c r="E136" s="2" t="n"/>
      <c r="F136" s="1" t="n"/>
      <c r="G136" s="1" t="n"/>
      <c r="H136" s="3" t="n"/>
      <c r="I136" s="3" t="n"/>
    </row>
    <row r="137" ht="14.25" customHeight="1" s="101">
      <c r="A137" s="1" t="n"/>
      <c r="D137" s="2" t="n"/>
      <c r="E137" s="2" t="n"/>
      <c r="F137" s="1" t="n"/>
      <c r="G137" s="1" t="n"/>
      <c r="H137" s="3" t="n"/>
      <c r="I137" s="3" t="n"/>
    </row>
    <row r="138" ht="14.25" customHeight="1" s="101">
      <c r="A138" s="1" t="n"/>
      <c r="D138" s="2" t="n"/>
      <c r="E138" s="2" t="n"/>
      <c r="F138" s="1" t="n"/>
      <c r="G138" s="1" t="n"/>
      <c r="H138" s="3" t="n"/>
      <c r="I138" s="3" t="n"/>
    </row>
    <row r="139" ht="14.25" customHeight="1" s="101">
      <c r="A139" s="1" t="n"/>
      <c r="D139" s="2" t="n"/>
      <c r="E139" s="2" t="n"/>
      <c r="F139" s="1" t="n"/>
      <c r="G139" s="1" t="n"/>
      <c r="H139" s="3" t="n"/>
      <c r="I139" s="3" t="n"/>
    </row>
    <row r="140" ht="14.25" customHeight="1" s="101">
      <c r="A140" s="1" t="n"/>
      <c r="D140" s="2" t="n"/>
      <c r="E140" s="2" t="n"/>
      <c r="F140" s="1" t="n"/>
      <c r="G140" s="1" t="n"/>
      <c r="H140" s="3" t="n"/>
      <c r="I140" s="3" t="n"/>
    </row>
    <row r="141" ht="14.25" customHeight="1" s="101">
      <c r="A141" s="1" t="n"/>
      <c r="D141" s="2" t="n"/>
      <c r="E141" s="2" t="n"/>
      <c r="F141" s="1" t="n"/>
      <c r="G141" s="1" t="n"/>
      <c r="H141" s="3" t="n"/>
      <c r="I141" s="3" t="n"/>
    </row>
    <row r="142" ht="14.25" customHeight="1" s="101">
      <c r="A142" s="1" t="n"/>
      <c r="D142" s="2" t="n"/>
      <c r="E142" s="2" t="n"/>
      <c r="F142" s="1" t="n"/>
      <c r="G142" s="1" t="n"/>
      <c r="H142" s="3" t="n"/>
      <c r="I142" s="3" t="n"/>
    </row>
    <row r="143" ht="14.25" customHeight="1" s="101">
      <c r="A143" s="1" t="n"/>
      <c r="D143" s="2" t="n"/>
      <c r="E143" s="2" t="n"/>
      <c r="F143" s="1" t="n"/>
      <c r="G143" s="1" t="n"/>
      <c r="H143" s="3" t="n"/>
      <c r="I143" s="3" t="n"/>
    </row>
    <row r="144" ht="14.25" customHeight="1" s="101">
      <c r="A144" s="1" t="n"/>
      <c r="D144" s="2" t="n"/>
      <c r="E144" s="2" t="n"/>
      <c r="F144" s="1" t="n"/>
      <c r="G144" s="1" t="n"/>
      <c r="H144" s="3" t="n"/>
      <c r="I144" s="3" t="n"/>
    </row>
    <row r="145" ht="14.25" customHeight="1" s="101">
      <c r="A145" s="1" t="n"/>
      <c r="D145" s="2" t="n"/>
      <c r="E145" s="2" t="n"/>
      <c r="F145" s="1" t="n"/>
      <c r="G145" s="1" t="n"/>
      <c r="H145" s="3" t="n"/>
      <c r="I145" s="3" t="n"/>
    </row>
    <row r="146" ht="14.25" customHeight="1" s="101">
      <c r="A146" s="1" t="n"/>
      <c r="D146" s="2" t="n"/>
      <c r="E146" s="2" t="n"/>
      <c r="F146" s="1" t="n"/>
      <c r="G146" s="1" t="n"/>
      <c r="H146" s="3" t="n"/>
      <c r="I146" s="3" t="n"/>
    </row>
    <row r="147" ht="14.25" customHeight="1" s="101">
      <c r="A147" s="1" t="n"/>
      <c r="D147" s="2" t="n"/>
      <c r="E147" s="2" t="n"/>
      <c r="F147" s="1" t="n"/>
      <c r="G147" s="1" t="n"/>
      <c r="H147" s="3" t="n"/>
      <c r="I147" s="3" t="n"/>
    </row>
    <row r="148" ht="14.25" customHeight="1" s="101">
      <c r="A148" s="1" t="n"/>
      <c r="D148" s="2" t="n"/>
      <c r="E148" s="2" t="n"/>
      <c r="F148" s="1" t="n"/>
      <c r="G148" s="1" t="n"/>
      <c r="H148" s="3" t="n"/>
      <c r="I148" s="3" t="n"/>
    </row>
    <row r="149" ht="14.25" customHeight="1" s="101">
      <c r="A149" s="1" t="n"/>
      <c r="D149" s="2" t="n"/>
      <c r="E149" s="2" t="n"/>
      <c r="F149" s="1" t="n"/>
      <c r="G149" s="1" t="n"/>
      <c r="H149" s="3" t="n"/>
      <c r="I149" s="3" t="n"/>
    </row>
    <row r="150" ht="14.25" customHeight="1" s="101">
      <c r="A150" s="1" t="n"/>
      <c r="D150" s="2" t="n"/>
      <c r="E150" s="2" t="n"/>
      <c r="F150" s="1" t="n"/>
      <c r="G150" s="1" t="n"/>
      <c r="H150" s="3" t="n"/>
      <c r="I150" s="3" t="n"/>
    </row>
    <row r="151" ht="14.25" customHeight="1" s="101">
      <c r="A151" s="1" t="n"/>
      <c r="D151" s="2" t="n"/>
      <c r="E151" s="2" t="n"/>
      <c r="F151" s="1" t="n"/>
      <c r="G151" s="1" t="n"/>
      <c r="H151" s="3" t="n"/>
      <c r="I151" s="3" t="n"/>
    </row>
    <row r="152" ht="14.25" customHeight="1" s="101">
      <c r="A152" s="1" t="n"/>
      <c r="D152" s="2" t="n"/>
      <c r="E152" s="2" t="n"/>
      <c r="F152" s="1" t="n"/>
      <c r="G152" s="1" t="n"/>
      <c r="H152" s="3" t="n"/>
      <c r="I152" s="3" t="n"/>
    </row>
    <row r="153" ht="14.25" customHeight="1" s="101">
      <c r="A153" s="1" t="n"/>
      <c r="D153" s="2" t="n"/>
      <c r="E153" s="2" t="n"/>
      <c r="F153" s="1" t="n"/>
      <c r="G153" s="1" t="n"/>
      <c r="H153" s="3" t="n"/>
      <c r="I153" s="3" t="n"/>
    </row>
    <row r="154" ht="14.25" customHeight="1" s="101">
      <c r="A154" s="1" t="n"/>
      <c r="D154" s="2" t="n"/>
      <c r="E154" s="2" t="n"/>
      <c r="F154" s="1" t="n"/>
      <c r="G154" s="1" t="n"/>
      <c r="H154" s="3" t="n"/>
      <c r="I154" s="3" t="n"/>
    </row>
    <row r="155" ht="14.25" customHeight="1" s="101">
      <c r="A155" s="1" t="n"/>
      <c r="D155" s="2" t="n"/>
      <c r="E155" s="2" t="n"/>
      <c r="F155" s="1" t="n"/>
      <c r="G155" s="1" t="n"/>
      <c r="H155" s="3" t="n"/>
      <c r="I155" s="3" t="n"/>
    </row>
    <row r="156" ht="14.25" customHeight="1" s="101">
      <c r="A156" s="1" t="n"/>
      <c r="D156" s="2" t="n"/>
      <c r="E156" s="2" t="n"/>
      <c r="F156" s="1" t="n"/>
      <c r="G156" s="1" t="n"/>
      <c r="H156" s="3" t="n"/>
      <c r="I156" s="3" t="n"/>
    </row>
    <row r="157" ht="14.25" customHeight="1" s="101">
      <c r="A157" s="1" t="n"/>
      <c r="D157" s="2" t="n"/>
      <c r="E157" s="2" t="n"/>
      <c r="F157" s="1" t="n"/>
      <c r="G157" s="1" t="n"/>
      <c r="H157" s="3" t="n"/>
      <c r="I157" s="3" t="n"/>
    </row>
    <row r="158" ht="14.25" customHeight="1" s="101">
      <c r="A158" s="1" t="n"/>
      <c r="D158" s="2" t="n"/>
      <c r="E158" s="2" t="n"/>
      <c r="F158" s="1" t="n"/>
      <c r="G158" s="1" t="n"/>
      <c r="H158" s="3" t="n"/>
      <c r="I158" s="3" t="n"/>
    </row>
    <row r="159" ht="14.25" customHeight="1" s="101">
      <c r="A159" s="1" t="n"/>
      <c r="D159" s="2" t="n"/>
      <c r="E159" s="2" t="n"/>
      <c r="F159" s="1" t="n"/>
      <c r="G159" s="1" t="n"/>
      <c r="H159" s="3" t="n"/>
      <c r="I159" s="3" t="n"/>
    </row>
    <row r="160" ht="14.25" customHeight="1" s="101">
      <c r="A160" s="1" t="n"/>
      <c r="D160" s="2" t="n"/>
      <c r="E160" s="2" t="n"/>
      <c r="F160" s="1" t="n"/>
      <c r="G160" s="1" t="n"/>
      <c r="H160" s="3" t="n"/>
      <c r="I160" s="3" t="n"/>
    </row>
    <row r="161" ht="14.25" customHeight="1" s="101">
      <c r="A161" s="1" t="n"/>
      <c r="D161" s="2" t="n"/>
      <c r="E161" s="2" t="n"/>
      <c r="F161" s="1" t="n"/>
      <c r="G161" s="1" t="n"/>
      <c r="H161" s="3" t="n"/>
      <c r="I161" s="3" t="n"/>
    </row>
    <row r="162" ht="14.25" customHeight="1" s="101">
      <c r="A162" s="1" t="n"/>
      <c r="D162" s="2" t="n"/>
      <c r="E162" s="2" t="n"/>
      <c r="F162" s="1" t="n"/>
      <c r="G162" s="1" t="n"/>
      <c r="H162" s="3" t="n"/>
      <c r="I162" s="3" t="n"/>
    </row>
    <row r="163" ht="14.25" customHeight="1" s="101">
      <c r="A163" s="1" t="n"/>
      <c r="D163" s="2" t="n"/>
      <c r="E163" s="2" t="n"/>
      <c r="F163" s="1" t="n"/>
      <c r="G163" s="1" t="n"/>
      <c r="H163" s="3" t="n"/>
      <c r="I163" s="3" t="n"/>
    </row>
    <row r="164" ht="14.25" customHeight="1" s="101">
      <c r="A164" s="1" t="n"/>
      <c r="D164" s="2" t="n"/>
      <c r="E164" s="2" t="n"/>
      <c r="F164" s="1" t="n"/>
      <c r="G164" s="1" t="n"/>
      <c r="H164" s="3" t="n"/>
      <c r="I164" s="3" t="n"/>
    </row>
    <row r="165" ht="14.25" customHeight="1" s="101">
      <c r="A165" s="1" t="n"/>
      <c r="D165" s="2" t="n"/>
      <c r="E165" s="2" t="n"/>
      <c r="F165" s="1" t="n"/>
      <c r="G165" s="1" t="n"/>
      <c r="H165" s="3" t="n"/>
      <c r="I165" s="3" t="n"/>
    </row>
    <row r="166" ht="14.25" customHeight="1" s="101">
      <c r="A166" s="1" t="n"/>
      <c r="D166" s="2" t="n"/>
      <c r="E166" s="2" t="n"/>
      <c r="F166" s="1" t="n"/>
      <c r="G166" s="1" t="n"/>
      <c r="H166" s="3" t="n"/>
      <c r="I166" s="3" t="n"/>
    </row>
    <row r="167" ht="14.25" customHeight="1" s="101">
      <c r="A167" s="1" t="n"/>
      <c r="D167" s="2" t="n"/>
      <c r="E167" s="2" t="n"/>
      <c r="F167" s="1" t="n"/>
      <c r="G167" s="1" t="n"/>
      <c r="H167" s="3" t="n"/>
      <c r="I167" s="3" t="n"/>
    </row>
    <row r="168" ht="14.25" customHeight="1" s="101">
      <c r="A168" s="1" t="n"/>
      <c r="D168" s="2" t="n"/>
      <c r="E168" s="2" t="n"/>
      <c r="F168" s="1" t="n"/>
      <c r="G168" s="1" t="n"/>
      <c r="H168" s="3" t="n"/>
      <c r="I168" s="3" t="n"/>
    </row>
    <row r="169" ht="14.25" customHeight="1" s="101">
      <c r="A169" s="1" t="n"/>
      <c r="D169" s="2" t="n"/>
      <c r="E169" s="2" t="n"/>
      <c r="F169" s="1" t="n"/>
      <c r="G169" s="1" t="n"/>
      <c r="H169" s="3" t="n"/>
      <c r="I169" s="3" t="n"/>
    </row>
    <row r="170" ht="14.25" customHeight="1" s="101">
      <c r="A170" s="1" t="n"/>
      <c r="D170" s="2" t="n"/>
      <c r="E170" s="2" t="n"/>
      <c r="F170" s="1" t="n"/>
      <c r="G170" s="1" t="n"/>
      <c r="H170" s="3" t="n"/>
      <c r="I170" s="3" t="n"/>
    </row>
    <row r="171" ht="14.25" customHeight="1" s="101">
      <c r="A171" s="1" t="n"/>
      <c r="D171" s="2" t="n"/>
      <c r="E171" s="2" t="n"/>
      <c r="F171" s="1" t="n"/>
      <c r="G171" s="1" t="n"/>
      <c r="H171" s="3" t="n"/>
      <c r="I171" s="3" t="n"/>
    </row>
    <row r="172" ht="14.25" customHeight="1" s="101">
      <c r="A172" s="1" t="n"/>
      <c r="D172" s="2" t="n"/>
      <c r="E172" s="2" t="n"/>
      <c r="F172" s="1" t="n"/>
      <c r="G172" s="1" t="n"/>
      <c r="H172" s="3" t="n"/>
      <c r="I172" s="3" t="n"/>
    </row>
    <row r="173" ht="14.25" customHeight="1" s="101">
      <c r="A173" s="1" t="n"/>
      <c r="D173" s="2" t="n"/>
      <c r="E173" s="2" t="n"/>
      <c r="F173" s="1" t="n"/>
      <c r="G173" s="1" t="n"/>
      <c r="H173" s="3" t="n"/>
      <c r="I173" s="3" t="n"/>
    </row>
    <row r="174" ht="14.25" customHeight="1" s="101">
      <c r="A174" s="1" t="n"/>
      <c r="D174" s="2" t="n"/>
      <c r="E174" s="2" t="n"/>
      <c r="F174" s="1" t="n"/>
      <c r="G174" s="1" t="n"/>
      <c r="H174" s="3" t="n"/>
      <c r="I174" s="3" t="n"/>
    </row>
    <row r="175" ht="14.25" customHeight="1" s="101">
      <c r="A175" s="1" t="n"/>
      <c r="D175" s="2" t="n"/>
      <c r="E175" s="2" t="n"/>
      <c r="F175" s="1" t="n"/>
      <c r="G175" s="1" t="n"/>
      <c r="H175" s="3" t="n"/>
      <c r="I175" s="3" t="n"/>
    </row>
    <row r="176" ht="14.25" customHeight="1" s="101">
      <c r="A176" s="1" t="n"/>
      <c r="D176" s="2" t="n"/>
      <c r="E176" s="2" t="n"/>
      <c r="F176" s="1" t="n"/>
      <c r="G176" s="1" t="n"/>
      <c r="H176" s="3" t="n"/>
      <c r="I176" s="3" t="n"/>
    </row>
    <row r="177" ht="14.25" customHeight="1" s="101">
      <c r="A177" s="1" t="n"/>
      <c r="D177" s="2" t="n"/>
      <c r="E177" s="2" t="n"/>
      <c r="F177" s="1" t="n"/>
      <c r="G177" s="1" t="n"/>
      <c r="H177" s="3" t="n"/>
      <c r="I177" s="3" t="n"/>
    </row>
    <row r="178" ht="14.25" customHeight="1" s="101">
      <c r="A178" s="1" t="n"/>
      <c r="D178" s="2" t="n"/>
      <c r="E178" s="2" t="n"/>
      <c r="F178" s="1" t="n"/>
      <c r="G178" s="1" t="n"/>
      <c r="H178" s="3" t="n"/>
      <c r="I178" s="3" t="n"/>
    </row>
    <row r="179" ht="14.25" customHeight="1" s="101">
      <c r="A179" s="1" t="n"/>
      <c r="D179" s="2" t="n"/>
      <c r="E179" s="2" t="n"/>
      <c r="F179" s="1" t="n"/>
      <c r="G179" s="1" t="n"/>
      <c r="H179" s="3" t="n"/>
      <c r="I179" s="3" t="n"/>
    </row>
    <row r="180" ht="14.25" customHeight="1" s="101">
      <c r="A180" s="1" t="n"/>
      <c r="D180" s="2" t="n"/>
      <c r="E180" s="2" t="n"/>
      <c r="F180" s="1" t="n"/>
      <c r="G180" s="1" t="n"/>
      <c r="H180" s="3" t="n"/>
      <c r="I180" s="3" t="n"/>
    </row>
    <row r="181" ht="14.25" customHeight="1" s="101">
      <c r="A181" s="1" t="n"/>
      <c r="D181" s="2" t="n"/>
      <c r="E181" s="2" t="n"/>
      <c r="F181" s="1" t="n"/>
      <c r="G181" s="1" t="n"/>
      <c r="H181" s="3" t="n"/>
      <c r="I181" s="3" t="n"/>
    </row>
    <row r="182" ht="14.25" customHeight="1" s="101">
      <c r="A182" s="1" t="n"/>
      <c r="D182" s="2" t="n"/>
      <c r="E182" s="2" t="n"/>
      <c r="F182" s="1" t="n"/>
      <c r="G182" s="1" t="n"/>
      <c r="H182" s="3" t="n"/>
      <c r="I182" s="3" t="n"/>
    </row>
    <row r="183" ht="14.25" customHeight="1" s="101">
      <c r="A183" s="1" t="n"/>
      <c r="D183" s="2" t="n"/>
      <c r="E183" s="2" t="n"/>
      <c r="F183" s="1" t="n"/>
      <c r="G183" s="1" t="n"/>
      <c r="H183" s="3" t="n"/>
      <c r="I183" s="3" t="n"/>
    </row>
    <row r="184" ht="14.25" customHeight="1" s="101">
      <c r="A184" s="1" t="n"/>
      <c r="D184" s="2" t="n"/>
      <c r="E184" s="2" t="n"/>
      <c r="F184" s="1" t="n"/>
      <c r="G184" s="1" t="n"/>
      <c r="H184" s="3" t="n"/>
      <c r="I184" s="3" t="n"/>
    </row>
    <row r="185" ht="14.25" customHeight="1" s="101">
      <c r="A185" s="1" t="n"/>
      <c r="D185" s="2" t="n"/>
      <c r="E185" s="2" t="n"/>
      <c r="F185" s="1" t="n"/>
      <c r="G185" s="1" t="n"/>
      <c r="H185" s="3" t="n"/>
      <c r="I185" s="3" t="n"/>
    </row>
    <row r="186" ht="14.25" customHeight="1" s="101">
      <c r="A186" s="1" t="n"/>
      <c r="D186" s="2" t="n"/>
      <c r="E186" s="2" t="n"/>
      <c r="F186" s="1" t="n"/>
      <c r="G186" s="1" t="n"/>
      <c r="H186" s="3" t="n"/>
      <c r="I186" s="3" t="n"/>
    </row>
    <row r="187" ht="14.25" customHeight="1" s="101">
      <c r="A187" s="1" t="n"/>
      <c r="D187" s="2" t="n"/>
      <c r="E187" s="2" t="n"/>
      <c r="F187" s="1" t="n"/>
      <c r="G187" s="1" t="n"/>
      <c r="H187" s="3" t="n"/>
      <c r="I187" s="3" t="n"/>
    </row>
    <row r="188" ht="14.25" customHeight="1" s="101">
      <c r="A188" s="1" t="n"/>
      <c r="D188" s="2" t="n"/>
      <c r="E188" s="2" t="n"/>
      <c r="F188" s="1" t="n"/>
      <c r="G188" s="1" t="n"/>
      <c r="H188" s="3" t="n"/>
      <c r="I188" s="3" t="n"/>
    </row>
    <row r="189" ht="14.25" customHeight="1" s="101">
      <c r="A189" s="1" t="n"/>
      <c r="D189" s="2" t="n"/>
      <c r="E189" s="2" t="n"/>
      <c r="F189" s="1" t="n"/>
      <c r="G189" s="1" t="n"/>
      <c r="H189" s="3" t="n"/>
      <c r="I189" s="3" t="n"/>
    </row>
    <row r="190" ht="14.25" customHeight="1" s="101">
      <c r="A190" s="1" t="n"/>
      <c r="D190" s="2" t="n"/>
      <c r="E190" s="2" t="n"/>
      <c r="F190" s="1" t="n"/>
      <c r="G190" s="1" t="n"/>
      <c r="H190" s="3" t="n"/>
      <c r="I190" s="3" t="n"/>
    </row>
    <row r="191" ht="14.25" customHeight="1" s="101">
      <c r="A191" s="1" t="n"/>
      <c r="D191" s="2" t="n"/>
      <c r="E191" s="2" t="n"/>
      <c r="F191" s="1" t="n"/>
      <c r="G191" s="1" t="n"/>
      <c r="H191" s="3" t="n"/>
      <c r="I191" s="3" t="n"/>
    </row>
    <row r="192" ht="14.25" customHeight="1" s="101">
      <c r="A192" s="1" t="n"/>
      <c r="D192" s="2" t="n"/>
      <c r="E192" s="2" t="n"/>
      <c r="F192" s="1" t="n"/>
      <c r="G192" s="1" t="n"/>
      <c r="H192" s="3" t="n"/>
      <c r="I192" s="3" t="n"/>
    </row>
    <row r="193" ht="14.25" customHeight="1" s="101">
      <c r="A193" s="1" t="n"/>
      <c r="D193" s="2" t="n"/>
      <c r="E193" s="2" t="n"/>
      <c r="F193" s="1" t="n"/>
      <c r="G193" s="1" t="n"/>
      <c r="H193" s="3" t="n"/>
      <c r="I193" s="3" t="n"/>
    </row>
    <row r="194" ht="14.25" customHeight="1" s="101">
      <c r="A194" s="1" t="n"/>
      <c r="D194" s="2" t="n"/>
      <c r="E194" s="2" t="n"/>
      <c r="F194" s="1" t="n"/>
      <c r="G194" s="1" t="n"/>
      <c r="H194" s="3" t="n"/>
      <c r="I194" s="3" t="n"/>
    </row>
    <row r="195" ht="14.25" customHeight="1" s="101">
      <c r="A195" s="1" t="n"/>
      <c r="D195" s="2" t="n"/>
      <c r="E195" s="2" t="n"/>
      <c r="F195" s="1" t="n"/>
      <c r="G195" s="1" t="n"/>
      <c r="H195" s="3" t="n"/>
      <c r="I195" s="3" t="n"/>
    </row>
    <row r="196" ht="14.25" customHeight="1" s="101">
      <c r="A196" s="1" t="n"/>
      <c r="D196" s="2" t="n"/>
      <c r="E196" s="2" t="n"/>
      <c r="F196" s="1" t="n"/>
      <c r="G196" s="1" t="n"/>
      <c r="H196" s="3" t="n"/>
      <c r="I196" s="3" t="n"/>
    </row>
    <row r="197" ht="14.25" customHeight="1" s="101">
      <c r="A197" s="1" t="n"/>
      <c r="D197" s="2" t="n"/>
      <c r="E197" s="2" t="n"/>
      <c r="F197" s="1" t="n"/>
      <c r="G197" s="1" t="n"/>
      <c r="H197" s="3" t="n"/>
      <c r="I197" s="3" t="n"/>
    </row>
    <row r="198" ht="14.25" customHeight="1" s="101">
      <c r="A198" s="1" t="n"/>
      <c r="D198" s="2" t="n"/>
      <c r="E198" s="2" t="n"/>
      <c r="F198" s="1" t="n"/>
      <c r="G198" s="1" t="n"/>
      <c r="H198" s="3" t="n"/>
      <c r="I198" s="3" t="n"/>
    </row>
    <row r="199" ht="14.25" customHeight="1" s="101">
      <c r="A199" s="1" t="n"/>
      <c r="D199" s="2" t="n"/>
      <c r="E199" s="2" t="n"/>
      <c r="F199" s="1" t="n"/>
      <c r="G199" s="1" t="n"/>
      <c r="H199" s="3" t="n"/>
      <c r="I199" s="3" t="n"/>
    </row>
    <row r="200" ht="14.25" customHeight="1" s="101">
      <c r="A200" s="1" t="n"/>
      <c r="D200" s="2" t="n"/>
      <c r="E200" s="2" t="n"/>
      <c r="F200" s="1" t="n"/>
      <c r="G200" s="1" t="n"/>
      <c r="H200" s="3" t="n"/>
      <c r="I200" s="3" t="n"/>
    </row>
    <row r="201" ht="14.25" customHeight="1" s="101">
      <c r="A201" s="1" t="n"/>
      <c r="D201" s="2" t="n"/>
      <c r="E201" s="2" t="n"/>
      <c r="F201" s="1" t="n"/>
      <c r="G201" s="1" t="n"/>
      <c r="H201" s="3" t="n"/>
      <c r="I201" s="3" t="n"/>
    </row>
    <row r="202" ht="14.25" customHeight="1" s="101">
      <c r="A202" s="1" t="n"/>
      <c r="D202" s="2" t="n"/>
      <c r="E202" s="2" t="n"/>
      <c r="F202" s="1" t="n"/>
      <c r="G202" s="1" t="n"/>
      <c r="H202" s="3" t="n"/>
      <c r="I202" s="3" t="n"/>
    </row>
    <row r="203" ht="14.25" customHeight="1" s="101">
      <c r="A203" s="1" t="n"/>
      <c r="D203" s="2" t="n"/>
      <c r="E203" s="2" t="n"/>
      <c r="F203" s="1" t="n"/>
      <c r="G203" s="1" t="n"/>
      <c r="H203" s="3" t="n"/>
      <c r="I203" s="3" t="n"/>
    </row>
    <row r="204" ht="14.25" customHeight="1" s="101">
      <c r="A204" s="1" t="n"/>
      <c r="D204" s="2" t="n"/>
      <c r="E204" s="2" t="n"/>
      <c r="F204" s="1" t="n"/>
      <c r="G204" s="1" t="n"/>
      <c r="H204" s="3" t="n"/>
      <c r="I204" s="3" t="n"/>
    </row>
    <row r="205" ht="14.25" customHeight="1" s="101">
      <c r="A205" s="1" t="n"/>
      <c r="D205" s="2" t="n"/>
      <c r="E205" s="2" t="n"/>
      <c r="F205" s="1" t="n"/>
      <c r="G205" s="1" t="n"/>
      <c r="H205" s="3" t="n"/>
      <c r="I205" s="3" t="n"/>
    </row>
    <row r="206" ht="14.25" customHeight="1" s="101">
      <c r="A206" s="1" t="n"/>
      <c r="D206" s="2" t="n"/>
      <c r="E206" s="2" t="n"/>
      <c r="F206" s="1" t="n"/>
      <c r="G206" s="1" t="n"/>
      <c r="H206" s="3" t="n"/>
      <c r="I206" s="3" t="n"/>
    </row>
    <row r="207" ht="14.25" customHeight="1" s="101">
      <c r="A207" s="1" t="n"/>
      <c r="D207" s="2" t="n"/>
      <c r="E207" s="2" t="n"/>
      <c r="F207" s="1" t="n"/>
      <c r="G207" s="1" t="n"/>
      <c r="H207" s="3" t="n"/>
      <c r="I207" s="3" t="n"/>
    </row>
    <row r="208" ht="14.25" customHeight="1" s="101">
      <c r="A208" s="1" t="n"/>
      <c r="D208" s="2" t="n"/>
      <c r="E208" s="2" t="n"/>
      <c r="F208" s="1" t="n"/>
      <c r="G208" s="1" t="n"/>
      <c r="H208" s="3" t="n"/>
      <c r="I208" s="3" t="n"/>
    </row>
    <row r="209" ht="14.25" customHeight="1" s="101">
      <c r="A209" s="1" t="n"/>
      <c r="D209" s="2" t="n"/>
      <c r="E209" s="2" t="n"/>
      <c r="F209" s="1" t="n"/>
      <c r="G209" s="1" t="n"/>
      <c r="H209" s="3" t="n"/>
      <c r="I209" s="3" t="n"/>
    </row>
    <row r="210" ht="14.25" customHeight="1" s="101">
      <c r="A210" s="1" t="n"/>
      <c r="D210" s="2" t="n"/>
      <c r="E210" s="2" t="n"/>
      <c r="F210" s="1" t="n"/>
      <c r="G210" s="1" t="n"/>
      <c r="H210" s="3" t="n"/>
      <c r="I210" s="3" t="n"/>
    </row>
    <row r="211" ht="14.25" customHeight="1" s="101">
      <c r="A211" s="1" t="n"/>
      <c r="D211" s="2" t="n"/>
      <c r="E211" s="2" t="n"/>
      <c r="F211" s="1" t="n"/>
      <c r="G211" s="1" t="n"/>
      <c r="H211" s="3" t="n"/>
      <c r="I211" s="3" t="n"/>
    </row>
    <row r="212" ht="14.25" customHeight="1" s="101">
      <c r="A212" s="1" t="n"/>
      <c r="D212" s="2" t="n"/>
      <c r="E212" s="2" t="n"/>
      <c r="F212" s="1" t="n"/>
      <c r="G212" s="1" t="n"/>
      <c r="H212" s="3" t="n"/>
      <c r="I212" s="3" t="n"/>
    </row>
    <row r="213" ht="14.25" customHeight="1" s="101">
      <c r="A213" s="1" t="n"/>
      <c r="D213" s="2" t="n"/>
      <c r="E213" s="2" t="n"/>
      <c r="F213" s="1" t="n"/>
      <c r="G213" s="1" t="n"/>
      <c r="H213" s="3" t="n"/>
      <c r="I213" s="3" t="n"/>
    </row>
    <row r="214" ht="14.25" customHeight="1" s="101">
      <c r="A214" s="1" t="n"/>
      <c r="D214" s="2" t="n"/>
      <c r="E214" s="2" t="n"/>
      <c r="F214" s="1" t="n"/>
      <c r="G214" s="1" t="n"/>
      <c r="H214" s="3" t="n"/>
      <c r="I214" s="3" t="n"/>
    </row>
    <row r="215" ht="14.25" customHeight="1" s="101">
      <c r="A215" s="1" t="n"/>
      <c r="D215" s="2" t="n"/>
      <c r="E215" s="2" t="n"/>
      <c r="F215" s="1" t="n"/>
      <c r="G215" s="1" t="n"/>
      <c r="H215" s="3" t="n"/>
      <c r="I215" s="3" t="n"/>
    </row>
    <row r="216" ht="14.25" customHeight="1" s="101">
      <c r="A216" s="1" t="n"/>
      <c r="D216" s="2" t="n"/>
      <c r="E216" s="2" t="n"/>
      <c r="F216" s="1" t="n"/>
      <c r="G216" s="1" t="n"/>
      <c r="H216" s="3" t="n"/>
      <c r="I216" s="3" t="n"/>
    </row>
    <row r="217" ht="14.25" customHeight="1" s="101">
      <c r="A217" s="1" t="n"/>
      <c r="D217" s="2" t="n"/>
      <c r="E217" s="2" t="n"/>
      <c r="F217" s="1" t="n"/>
      <c r="G217" s="1" t="n"/>
      <c r="H217" s="3" t="n"/>
      <c r="I217" s="3" t="n"/>
    </row>
    <row r="218" ht="14.25" customHeight="1" s="101">
      <c r="A218" s="1" t="n"/>
      <c r="D218" s="2" t="n"/>
      <c r="E218" s="2" t="n"/>
      <c r="F218" s="1" t="n"/>
      <c r="G218" s="1" t="n"/>
      <c r="H218" s="3" t="n"/>
      <c r="I218" s="3" t="n"/>
    </row>
    <row r="219" ht="14.25" customHeight="1" s="101">
      <c r="A219" s="1" t="n"/>
      <c r="D219" s="2" t="n"/>
      <c r="E219" s="2" t="n"/>
      <c r="F219" s="1" t="n"/>
      <c r="G219" s="1" t="n"/>
      <c r="H219" s="3" t="n"/>
      <c r="I219" s="3" t="n"/>
    </row>
    <row r="220" ht="14.25" customHeight="1" s="101">
      <c r="A220" s="1" t="n"/>
      <c r="D220" s="2" t="n"/>
      <c r="E220" s="2" t="n"/>
      <c r="F220" s="1" t="n"/>
      <c r="G220" s="1" t="n"/>
      <c r="H220" s="3" t="n"/>
      <c r="I220" s="3" t="n"/>
    </row>
    <row r="221" ht="14.25" customHeight="1" s="101">
      <c r="A221" s="1" t="n"/>
      <c r="D221" s="2" t="n"/>
      <c r="E221" s="2" t="n"/>
      <c r="F221" s="1" t="n"/>
      <c r="G221" s="1" t="n"/>
      <c r="H221" s="3" t="n"/>
      <c r="I221" s="3" t="n"/>
    </row>
    <row r="222" ht="14.25" customHeight="1" s="101">
      <c r="A222" s="1" t="n"/>
      <c r="D222" s="2" t="n"/>
      <c r="E222" s="2" t="n"/>
      <c r="F222" s="1" t="n"/>
      <c r="G222" s="1" t="n"/>
      <c r="H222" s="3" t="n"/>
      <c r="I222" s="3" t="n"/>
    </row>
    <row r="223" ht="14.25" customHeight="1" s="101">
      <c r="A223" s="1" t="n"/>
      <c r="D223" s="2" t="n"/>
      <c r="E223" s="2" t="n"/>
      <c r="F223" s="1" t="n"/>
      <c r="G223" s="1" t="n"/>
      <c r="H223" s="3" t="n"/>
      <c r="I223" s="3" t="n"/>
    </row>
    <row r="224" ht="14.25" customHeight="1" s="101">
      <c r="A224" s="1" t="n"/>
      <c r="D224" s="2" t="n"/>
      <c r="E224" s="2" t="n"/>
      <c r="F224" s="1" t="n"/>
      <c r="G224" s="1" t="n"/>
      <c r="H224" s="3" t="n"/>
      <c r="I224" s="3" t="n"/>
    </row>
    <row r="225" ht="14.25" customHeight="1" s="101">
      <c r="A225" s="1" t="n"/>
      <c r="D225" s="2" t="n"/>
      <c r="E225" s="2" t="n"/>
      <c r="F225" s="1" t="n"/>
      <c r="G225" s="1" t="n"/>
      <c r="H225" s="3" t="n"/>
      <c r="I225" s="3" t="n"/>
    </row>
    <row r="226" ht="14.25" customHeight="1" s="101">
      <c r="A226" s="1" t="n"/>
      <c r="D226" s="2" t="n"/>
      <c r="E226" s="2" t="n"/>
      <c r="F226" s="1" t="n"/>
      <c r="G226" s="1" t="n"/>
      <c r="H226" s="3" t="n"/>
      <c r="I226" s="3" t="n"/>
    </row>
    <row r="227" ht="14.25" customHeight="1" s="101">
      <c r="A227" s="1" t="n"/>
      <c r="D227" s="2" t="n"/>
      <c r="E227" s="2" t="n"/>
      <c r="F227" s="1" t="n"/>
      <c r="G227" s="1" t="n"/>
      <c r="H227" s="3" t="n"/>
      <c r="I227" s="3" t="n"/>
    </row>
    <row r="228" ht="14.25" customHeight="1" s="101">
      <c r="A228" s="1" t="n"/>
      <c r="D228" s="2" t="n"/>
      <c r="E228" s="2" t="n"/>
      <c r="F228" s="1" t="n"/>
      <c r="G228" s="1" t="n"/>
      <c r="H228" s="3" t="n"/>
      <c r="I228" s="3" t="n"/>
    </row>
    <row r="229" ht="14.25" customHeight="1" s="101">
      <c r="A229" s="1" t="n"/>
      <c r="D229" s="2" t="n"/>
      <c r="E229" s="2" t="n"/>
      <c r="F229" s="1" t="n"/>
      <c r="G229" s="1" t="n"/>
      <c r="H229" s="3" t="n"/>
      <c r="I229" s="3" t="n"/>
    </row>
    <row r="230" ht="14.25" customHeight="1" s="101">
      <c r="A230" s="1" t="n"/>
      <c r="D230" s="2" t="n"/>
      <c r="E230" s="2" t="n"/>
      <c r="F230" s="1" t="n"/>
      <c r="G230" s="1" t="n"/>
      <c r="H230" s="3" t="n"/>
      <c r="I230" s="3" t="n"/>
    </row>
    <row r="231" ht="14.25" customHeight="1" s="101">
      <c r="A231" s="1" t="n"/>
      <c r="D231" s="2" t="n"/>
      <c r="E231" s="2" t="n"/>
      <c r="F231" s="1" t="n"/>
      <c r="G231" s="1" t="n"/>
      <c r="H231" s="3" t="n"/>
      <c r="I231" s="3" t="n"/>
    </row>
    <row r="232" ht="14.25" customHeight="1" s="101">
      <c r="A232" s="1" t="n"/>
      <c r="D232" s="2" t="n"/>
      <c r="E232" s="2" t="n"/>
      <c r="F232" s="1" t="n"/>
      <c r="G232" s="1" t="n"/>
      <c r="H232" s="3" t="n"/>
      <c r="I232" s="3" t="n"/>
    </row>
    <row r="233" ht="14.25" customHeight="1" s="101">
      <c r="A233" s="1" t="n"/>
      <c r="D233" s="2" t="n"/>
      <c r="E233" s="2" t="n"/>
      <c r="F233" s="1" t="n"/>
      <c r="G233" s="1" t="n"/>
      <c r="H233" s="3" t="n"/>
      <c r="I233" s="3" t="n"/>
    </row>
    <row r="234" ht="14.25" customHeight="1" s="101">
      <c r="A234" s="1" t="n"/>
      <c r="D234" s="2" t="n"/>
      <c r="E234" s="2" t="n"/>
      <c r="F234" s="1" t="n"/>
      <c r="G234" s="1" t="n"/>
      <c r="H234" s="3" t="n"/>
      <c r="I234" s="3" t="n"/>
    </row>
    <row r="235" ht="14.25" customHeight="1" s="101">
      <c r="A235" s="1" t="n"/>
      <c r="D235" s="2" t="n"/>
      <c r="E235" s="2" t="n"/>
      <c r="F235" s="1" t="n"/>
      <c r="G235" s="1" t="n"/>
      <c r="H235" s="3" t="n"/>
      <c r="I235" s="3" t="n"/>
    </row>
    <row r="236" ht="14.25" customHeight="1" s="101">
      <c r="A236" s="1" t="n"/>
      <c r="D236" s="2" t="n"/>
      <c r="E236" s="2" t="n"/>
      <c r="F236" s="1" t="n"/>
      <c r="G236" s="1" t="n"/>
      <c r="H236" s="3" t="n"/>
      <c r="I236" s="3" t="n"/>
    </row>
    <row r="237" ht="14.25" customHeight="1" s="101">
      <c r="A237" s="1" t="n"/>
      <c r="D237" s="2" t="n"/>
      <c r="E237" s="2" t="n"/>
      <c r="F237" s="1" t="n"/>
      <c r="G237" s="1" t="n"/>
      <c r="H237" s="3" t="n"/>
      <c r="I237" s="3" t="n"/>
    </row>
    <row r="238" ht="14.25" customHeight="1" s="101">
      <c r="A238" s="1" t="n"/>
      <c r="D238" s="2" t="n"/>
      <c r="E238" s="2" t="n"/>
      <c r="F238" s="1" t="n"/>
      <c r="G238" s="1" t="n"/>
      <c r="H238" s="3" t="n"/>
      <c r="I238" s="3" t="n"/>
    </row>
    <row r="239" ht="14.25" customHeight="1" s="101">
      <c r="A239" s="1" t="n"/>
      <c r="D239" s="2" t="n"/>
      <c r="E239" s="2" t="n"/>
      <c r="F239" s="1" t="n"/>
      <c r="G239" s="1" t="n"/>
      <c r="H239" s="3" t="n"/>
      <c r="I239" s="3" t="n"/>
    </row>
    <row r="240" ht="14.25" customHeight="1" s="101">
      <c r="A240" s="1" t="n"/>
      <c r="D240" s="2" t="n"/>
      <c r="E240" s="2" t="n"/>
      <c r="F240" s="1" t="n"/>
      <c r="G240" s="1" t="n"/>
      <c r="H240" s="3" t="n"/>
      <c r="I240" s="3" t="n"/>
    </row>
    <row r="241" ht="14.25" customHeight="1" s="101">
      <c r="A241" s="1" t="n"/>
      <c r="D241" s="2" t="n"/>
      <c r="E241" s="2" t="n"/>
      <c r="F241" s="1" t="n"/>
      <c r="G241" s="1" t="n"/>
      <c r="H241" s="3" t="n"/>
      <c r="I241" s="3" t="n"/>
    </row>
    <row r="242" ht="14.25" customHeight="1" s="101">
      <c r="A242" s="1" t="n"/>
      <c r="D242" s="2" t="n"/>
      <c r="E242" s="2" t="n"/>
      <c r="F242" s="1" t="n"/>
      <c r="G242" s="1" t="n"/>
      <c r="H242" s="3" t="n"/>
      <c r="I242" s="3" t="n"/>
    </row>
    <row r="243" ht="14.25" customHeight="1" s="101">
      <c r="A243" s="1" t="n"/>
      <c r="D243" s="2" t="n"/>
      <c r="E243" s="2" t="n"/>
      <c r="F243" s="1" t="n"/>
      <c r="G243" s="1" t="n"/>
      <c r="H243" s="3" t="n"/>
      <c r="I243" s="3" t="n"/>
    </row>
    <row r="244" ht="14.25" customHeight="1" s="101">
      <c r="A244" s="1" t="n"/>
      <c r="D244" s="2" t="n"/>
      <c r="E244" s="2" t="n"/>
      <c r="F244" s="1" t="n"/>
      <c r="G244" s="1" t="n"/>
      <c r="H244" s="3" t="n"/>
      <c r="I244" s="3" t="n"/>
    </row>
    <row r="245" ht="14.25" customHeight="1" s="101">
      <c r="A245" s="1" t="n"/>
      <c r="D245" s="2" t="n"/>
      <c r="E245" s="2" t="n"/>
      <c r="F245" s="1" t="n"/>
      <c r="G245" s="1" t="n"/>
      <c r="H245" s="3" t="n"/>
      <c r="I245" s="3" t="n"/>
    </row>
    <row r="246" ht="14.25" customHeight="1" s="101">
      <c r="A246" s="1" t="n"/>
      <c r="D246" s="2" t="n"/>
      <c r="E246" s="2" t="n"/>
      <c r="F246" s="1" t="n"/>
      <c r="G246" s="1" t="n"/>
      <c r="H246" s="3" t="n"/>
      <c r="I246" s="3" t="n"/>
    </row>
    <row r="247" ht="14.25" customHeight="1" s="101">
      <c r="A247" s="1" t="n"/>
      <c r="D247" s="2" t="n"/>
      <c r="E247" s="2" t="n"/>
      <c r="F247" s="1" t="n"/>
      <c r="G247" s="1" t="n"/>
      <c r="H247" s="3" t="n"/>
      <c r="I247" s="3" t="n"/>
    </row>
    <row r="248" ht="14.25" customHeight="1" s="101">
      <c r="A248" s="1" t="n"/>
      <c r="D248" s="2" t="n"/>
      <c r="E248" s="2" t="n"/>
      <c r="F248" s="1" t="n"/>
      <c r="G248" s="1" t="n"/>
      <c r="H248" s="3" t="n"/>
      <c r="I248" s="3" t="n"/>
    </row>
    <row r="249" ht="14.25" customHeight="1" s="101">
      <c r="A249" s="1" t="n"/>
      <c r="D249" s="2" t="n"/>
      <c r="E249" s="2" t="n"/>
      <c r="F249" s="1" t="n"/>
      <c r="G249" s="1" t="n"/>
      <c r="H249" s="3" t="n"/>
      <c r="I249" s="3" t="n"/>
    </row>
    <row r="250" ht="14.25" customHeight="1" s="101">
      <c r="A250" s="1" t="n"/>
      <c r="D250" s="2" t="n"/>
      <c r="E250" s="2" t="n"/>
      <c r="F250" s="1" t="n"/>
      <c r="G250" s="1" t="n"/>
      <c r="H250" s="3" t="n"/>
      <c r="I250" s="3" t="n"/>
    </row>
    <row r="251" ht="14.25" customHeight="1" s="101">
      <c r="A251" s="1" t="n"/>
      <c r="D251" s="2" t="n"/>
      <c r="E251" s="2" t="n"/>
      <c r="F251" s="1" t="n"/>
      <c r="G251" s="1" t="n"/>
      <c r="H251" s="3" t="n"/>
      <c r="I251" s="3" t="n"/>
    </row>
    <row r="252" ht="14.25" customHeight="1" s="101">
      <c r="A252" s="1" t="n"/>
      <c r="D252" s="2" t="n"/>
      <c r="E252" s="2" t="n"/>
      <c r="F252" s="1" t="n"/>
      <c r="G252" s="1" t="n"/>
      <c r="H252" s="3" t="n"/>
      <c r="I252" s="3" t="n"/>
    </row>
    <row r="253" ht="14.25" customHeight="1" s="101">
      <c r="A253" s="1" t="n"/>
      <c r="D253" s="2" t="n"/>
      <c r="E253" s="2" t="n"/>
      <c r="F253" s="1" t="n"/>
      <c r="G253" s="1" t="n"/>
      <c r="H253" s="3" t="n"/>
      <c r="I253" s="3" t="n"/>
    </row>
    <row r="254" ht="14.25" customHeight="1" s="101">
      <c r="A254" s="1" t="n"/>
      <c r="D254" s="2" t="n"/>
      <c r="E254" s="2" t="n"/>
      <c r="F254" s="1" t="n"/>
      <c r="G254" s="1" t="n"/>
      <c r="H254" s="3" t="n"/>
      <c r="I254" s="3" t="n"/>
    </row>
    <row r="255" ht="14.25" customHeight="1" s="101">
      <c r="A255" s="1" t="n"/>
      <c r="D255" s="2" t="n"/>
      <c r="E255" s="2" t="n"/>
      <c r="F255" s="1" t="n"/>
      <c r="G255" s="1" t="n"/>
      <c r="H255" s="3" t="n"/>
      <c r="I255" s="3" t="n"/>
    </row>
    <row r="256" ht="14.25" customHeight="1" s="101">
      <c r="A256" s="1" t="n"/>
      <c r="D256" s="2" t="n"/>
      <c r="E256" s="2" t="n"/>
      <c r="F256" s="1" t="n"/>
      <c r="G256" s="1" t="n"/>
      <c r="H256" s="3" t="n"/>
      <c r="I256" s="3" t="n"/>
    </row>
    <row r="257" ht="14.25" customHeight="1" s="101">
      <c r="A257" s="1" t="n"/>
      <c r="D257" s="2" t="n"/>
      <c r="E257" s="2" t="n"/>
      <c r="F257" s="1" t="n"/>
      <c r="G257" s="1" t="n"/>
      <c r="H257" s="3" t="n"/>
      <c r="I257" s="3" t="n"/>
    </row>
    <row r="258" ht="14.25" customHeight="1" s="101">
      <c r="A258" s="1" t="n"/>
      <c r="D258" s="2" t="n"/>
      <c r="E258" s="2" t="n"/>
      <c r="F258" s="1" t="n"/>
      <c r="G258" s="1" t="n"/>
      <c r="H258" s="3" t="n"/>
      <c r="I258" s="3" t="n"/>
    </row>
    <row r="259" ht="14.25" customHeight="1" s="101">
      <c r="A259" s="1" t="n"/>
      <c r="D259" s="2" t="n"/>
      <c r="E259" s="2" t="n"/>
      <c r="F259" s="1" t="n"/>
      <c r="G259" s="1" t="n"/>
      <c r="H259" s="3" t="n"/>
      <c r="I259" s="3" t="n"/>
    </row>
    <row r="260" ht="14.25" customHeight="1" s="101">
      <c r="A260" s="1" t="n"/>
      <c r="D260" s="2" t="n"/>
      <c r="E260" s="2" t="n"/>
      <c r="F260" s="1" t="n"/>
      <c r="G260" s="1" t="n"/>
      <c r="H260" s="3" t="n"/>
      <c r="I260" s="3" t="n"/>
    </row>
    <row r="261" ht="14.25" customHeight="1" s="101">
      <c r="A261" s="1" t="n"/>
      <c r="D261" s="2" t="n"/>
      <c r="E261" s="2" t="n"/>
      <c r="F261" s="1" t="n"/>
      <c r="G261" s="1" t="n"/>
      <c r="H261" s="3" t="n"/>
      <c r="I261" s="3" t="n"/>
    </row>
    <row r="262" ht="14.25" customHeight="1" s="101">
      <c r="A262" s="1" t="n"/>
      <c r="D262" s="2" t="n"/>
      <c r="E262" s="2" t="n"/>
      <c r="F262" s="1" t="n"/>
      <c r="G262" s="1" t="n"/>
      <c r="H262" s="3" t="n"/>
      <c r="I262" s="3" t="n"/>
    </row>
    <row r="263" ht="14.25" customHeight="1" s="101">
      <c r="A263" s="1" t="n"/>
      <c r="D263" s="2" t="n"/>
      <c r="E263" s="2" t="n"/>
      <c r="F263" s="1" t="n"/>
      <c r="G263" s="1" t="n"/>
      <c r="H263" s="3" t="n"/>
      <c r="I263" s="3" t="n"/>
    </row>
    <row r="264" ht="14.25" customHeight="1" s="101">
      <c r="A264" s="1" t="n"/>
      <c r="D264" s="2" t="n"/>
      <c r="E264" s="2" t="n"/>
      <c r="F264" s="1" t="n"/>
      <c r="G264" s="1" t="n"/>
      <c r="H264" s="3" t="n"/>
      <c r="I264" s="3" t="n"/>
    </row>
    <row r="265" ht="14.25" customHeight="1" s="101">
      <c r="A265" s="1" t="n"/>
      <c r="D265" s="2" t="n"/>
      <c r="E265" s="2" t="n"/>
      <c r="F265" s="1" t="n"/>
      <c r="G265" s="1" t="n"/>
      <c r="H265" s="3" t="n"/>
      <c r="I265" s="3" t="n"/>
    </row>
    <row r="266" ht="14.25" customHeight="1" s="101">
      <c r="A266" s="1" t="n"/>
      <c r="D266" s="2" t="n"/>
      <c r="E266" s="2" t="n"/>
      <c r="F266" s="1" t="n"/>
      <c r="G266" s="1" t="n"/>
      <c r="H266" s="3" t="n"/>
      <c r="I266" s="3" t="n"/>
    </row>
    <row r="267" ht="14.25" customHeight="1" s="101">
      <c r="A267" s="1" t="n"/>
      <c r="D267" s="2" t="n"/>
      <c r="E267" s="2" t="n"/>
      <c r="F267" s="1" t="n"/>
      <c r="G267" s="1" t="n"/>
      <c r="H267" s="3" t="n"/>
      <c r="I267" s="3" t="n"/>
    </row>
    <row r="268" ht="14.25" customHeight="1" s="101">
      <c r="A268" s="1" t="n"/>
      <c r="D268" s="2" t="n"/>
      <c r="E268" s="2" t="n"/>
      <c r="F268" s="1" t="n"/>
      <c r="G268" s="1" t="n"/>
      <c r="H268" s="3" t="n"/>
      <c r="I268" s="3" t="n"/>
    </row>
    <row r="269" ht="14.25" customHeight="1" s="101">
      <c r="A269" s="1" t="n"/>
      <c r="D269" s="2" t="n"/>
      <c r="E269" s="2" t="n"/>
      <c r="F269" s="1" t="n"/>
      <c r="G269" s="1" t="n"/>
      <c r="H269" s="3" t="n"/>
      <c r="I269" s="3" t="n"/>
    </row>
    <row r="270" ht="14.25" customHeight="1" s="101">
      <c r="A270" s="1" t="n"/>
      <c r="D270" s="2" t="n"/>
      <c r="E270" s="2" t="n"/>
      <c r="F270" s="1" t="n"/>
      <c r="G270" s="1" t="n"/>
      <c r="H270" s="3" t="n"/>
      <c r="I270" s="3" t="n"/>
    </row>
    <row r="271" ht="14.25" customHeight="1" s="101">
      <c r="A271" s="1" t="n"/>
      <c r="D271" s="2" t="n"/>
      <c r="E271" s="2" t="n"/>
      <c r="F271" s="1" t="n"/>
      <c r="G271" s="1" t="n"/>
      <c r="H271" s="3" t="n"/>
      <c r="I271" s="3" t="n"/>
    </row>
    <row r="272" ht="14.25" customHeight="1" s="101">
      <c r="A272" s="1" t="n"/>
      <c r="D272" s="2" t="n"/>
      <c r="E272" s="2" t="n"/>
      <c r="F272" s="1" t="n"/>
      <c r="G272" s="1" t="n"/>
      <c r="H272" s="3" t="n"/>
      <c r="I272" s="3" t="n"/>
    </row>
    <row r="273" ht="14.25" customHeight="1" s="101">
      <c r="A273" s="1" t="n"/>
      <c r="D273" s="2" t="n"/>
      <c r="E273" s="2" t="n"/>
      <c r="F273" s="1" t="n"/>
      <c r="G273" s="1" t="n"/>
      <c r="H273" s="3" t="n"/>
      <c r="I273" s="3" t="n"/>
    </row>
    <row r="274" ht="14.25" customHeight="1" s="101">
      <c r="A274" s="1" t="n"/>
      <c r="D274" s="2" t="n"/>
      <c r="E274" s="2" t="n"/>
      <c r="F274" s="1" t="n"/>
      <c r="G274" s="1" t="n"/>
      <c r="H274" s="3" t="n"/>
      <c r="I274" s="3" t="n"/>
    </row>
    <row r="275" ht="14.25" customHeight="1" s="101">
      <c r="A275" s="1" t="n"/>
      <c r="D275" s="2" t="n"/>
      <c r="E275" s="2" t="n"/>
      <c r="F275" s="1" t="n"/>
      <c r="G275" s="1" t="n"/>
      <c r="H275" s="3" t="n"/>
      <c r="I275" s="3" t="n"/>
    </row>
    <row r="276" ht="14.25" customHeight="1" s="101">
      <c r="A276" s="1" t="n"/>
      <c r="D276" s="2" t="n"/>
      <c r="E276" s="2" t="n"/>
      <c r="F276" s="1" t="n"/>
      <c r="G276" s="1" t="n"/>
      <c r="H276" s="3" t="n"/>
      <c r="I276" s="3" t="n"/>
    </row>
    <row r="277" ht="14.25" customHeight="1" s="101">
      <c r="A277" s="1" t="n"/>
      <c r="D277" s="2" t="n"/>
      <c r="E277" s="2" t="n"/>
      <c r="F277" s="1" t="n"/>
      <c r="G277" s="1" t="n"/>
      <c r="H277" s="3" t="n"/>
      <c r="I277" s="3" t="n"/>
    </row>
    <row r="278" ht="14.25" customHeight="1" s="101">
      <c r="A278" s="1" t="n"/>
      <c r="D278" s="2" t="n"/>
      <c r="E278" s="2" t="n"/>
      <c r="F278" s="1" t="n"/>
      <c r="G278" s="1" t="n"/>
      <c r="H278" s="3" t="n"/>
      <c r="I278" s="3" t="n"/>
    </row>
    <row r="279" ht="14.25" customHeight="1" s="101">
      <c r="A279" s="1" t="n"/>
      <c r="D279" s="2" t="n"/>
      <c r="E279" s="2" t="n"/>
      <c r="F279" s="1" t="n"/>
      <c r="G279" s="1" t="n"/>
      <c r="H279" s="3" t="n"/>
      <c r="I279" s="3" t="n"/>
    </row>
    <row r="280" ht="14.25" customHeight="1" s="101">
      <c r="A280" s="1" t="n"/>
      <c r="D280" s="2" t="n"/>
      <c r="E280" s="2" t="n"/>
      <c r="F280" s="1" t="n"/>
      <c r="G280" s="1" t="n"/>
      <c r="H280" s="3" t="n"/>
      <c r="I280" s="3" t="n"/>
    </row>
    <row r="281" ht="14.25" customHeight="1" s="101">
      <c r="A281" s="1" t="n"/>
      <c r="D281" s="2" t="n"/>
      <c r="E281" s="2" t="n"/>
      <c r="F281" s="1" t="n"/>
      <c r="G281" s="1" t="n"/>
      <c r="H281" s="3" t="n"/>
      <c r="I281" s="3" t="n"/>
    </row>
    <row r="282" ht="14.25" customHeight="1" s="101">
      <c r="A282" s="1" t="n"/>
      <c r="D282" s="2" t="n"/>
      <c r="E282" s="2" t="n"/>
      <c r="F282" s="1" t="n"/>
      <c r="G282" s="1" t="n"/>
      <c r="H282" s="3" t="n"/>
      <c r="I282" s="3" t="n"/>
    </row>
    <row r="283" ht="14.25" customHeight="1" s="101">
      <c r="A283" s="1" t="n"/>
      <c r="D283" s="2" t="n"/>
      <c r="E283" s="2" t="n"/>
      <c r="F283" s="1" t="n"/>
      <c r="G283" s="1" t="n"/>
      <c r="H283" s="3" t="n"/>
      <c r="I283" s="3" t="n"/>
    </row>
    <row r="284" ht="14.25" customHeight="1" s="101">
      <c r="A284" s="1" t="n"/>
      <c r="D284" s="2" t="n"/>
      <c r="E284" s="2" t="n"/>
      <c r="F284" s="1" t="n"/>
      <c r="G284" s="1" t="n"/>
      <c r="H284" s="3" t="n"/>
      <c r="I284" s="3" t="n"/>
    </row>
    <row r="285" ht="14.25" customHeight="1" s="101">
      <c r="A285" s="1" t="n"/>
      <c r="D285" s="2" t="n"/>
      <c r="E285" s="2" t="n"/>
      <c r="F285" s="1" t="n"/>
      <c r="G285" s="1" t="n"/>
      <c r="H285" s="3" t="n"/>
      <c r="I285" s="3" t="n"/>
    </row>
    <row r="286" ht="14.25" customHeight="1" s="101">
      <c r="A286" s="1" t="n"/>
      <c r="D286" s="2" t="n"/>
      <c r="E286" s="2" t="n"/>
      <c r="F286" s="1" t="n"/>
      <c r="G286" s="1" t="n"/>
      <c r="H286" s="3" t="n"/>
      <c r="I286" s="3" t="n"/>
    </row>
    <row r="287" ht="14.25" customHeight="1" s="101">
      <c r="A287" s="1" t="n"/>
      <c r="D287" s="2" t="n"/>
      <c r="E287" s="2" t="n"/>
      <c r="F287" s="1" t="n"/>
      <c r="G287" s="1" t="n"/>
      <c r="H287" s="3" t="n"/>
      <c r="I287" s="3" t="n"/>
    </row>
    <row r="288" ht="14.25" customHeight="1" s="101">
      <c r="A288" s="1" t="n"/>
      <c r="D288" s="2" t="n"/>
      <c r="E288" s="2" t="n"/>
      <c r="F288" s="1" t="n"/>
      <c r="G288" s="1" t="n"/>
      <c r="H288" s="3" t="n"/>
      <c r="I288" s="3" t="n"/>
    </row>
    <row r="289" ht="14.25" customHeight="1" s="101">
      <c r="A289" s="1" t="n"/>
      <c r="D289" s="2" t="n"/>
      <c r="E289" s="2" t="n"/>
      <c r="F289" s="1" t="n"/>
      <c r="G289" s="1" t="n"/>
      <c r="H289" s="3" t="n"/>
      <c r="I289" s="3" t="n"/>
    </row>
    <row r="290" ht="14.25" customHeight="1" s="101">
      <c r="A290" s="1" t="n"/>
      <c r="D290" s="2" t="n"/>
      <c r="E290" s="2" t="n"/>
      <c r="F290" s="1" t="n"/>
      <c r="G290" s="1" t="n"/>
      <c r="H290" s="3" t="n"/>
      <c r="I290" s="3" t="n"/>
    </row>
    <row r="291" ht="14.25" customHeight="1" s="101">
      <c r="A291" s="1" t="n"/>
      <c r="D291" s="2" t="n"/>
      <c r="E291" s="2" t="n"/>
      <c r="F291" s="1" t="n"/>
      <c r="G291" s="1" t="n"/>
      <c r="H291" s="3" t="n"/>
      <c r="I291" s="3" t="n"/>
    </row>
    <row r="292" ht="14.25" customHeight="1" s="101">
      <c r="A292" s="1" t="n"/>
      <c r="D292" s="2" t="n"/>
      <c r="E292" s="2" t="n"/>
      <c r="F292" s="1" t="n"/>
      <c r="G292" s="1" t="n"/>
      <c r="H292" s="3" t="n"/>
      <c r="I292" s="3" t="n"/>
    </row>
    <row r="293" ht="14.25" customHeight="1" s="101">
      <c r="A293" s="1" t="n"/>
      <c r="D293" s="2" t="n"/>
      <c r="E293" s="2" t="n"/>
      <c r="F293" s="1" t="n"/>
      <c r="G293" s="1" t="n"/>
      <c r="H293" s="3" t="n"/>
      <c r="I293" s="3" t="n"/>
    </row>
    <row r="294" ht="14.25" customHeight="1" s="101">
      <c r="A294" s="1" t="n"/>
      <c r="D294" s="2" t="n"/>
      <c r="E294" s="2" t="n"/>
      <c r="F294" s="1" t="n"/>
      <c r="G294" s="1" t="n"/>
      <c r="H294" s="3" t="n"/>
      <c r="I294" s="3" t="n"/>
    </row>
    <row r="295" ht="14.25" customHeight="1" s="101">
      <c r="A295" s="1" t="n"/>
      <c r="D295" s="2" t="n"/>
      <c r="E295" s="2" t="n"/>
      <c r="F295" s="1" t="n"/>
      <c r="G295" s="1" t="n"/>
      <c r="H295" s="3" t="n"/>
      <c r="I295" s="3" t="n"/>
    </row>
    <row r="296" ht="14.25" customHeight="1" s="101">
      <c r="A296" s="1" t="n"/>
      <c r="D296" s="2" t="n"/>
      <c r="E296" s="2" t="n"/>
      <c r="F296" s="1" t="n"/>
      <c r="G296" s="1" t="n"/>
      <c r="H296" s="3" t="n"/>
      <c r="I296" s="3" t="n"/>
    </row>
    <row r="297" ht="14.25" customHeight="1" s="101">
      <c r="A297" s="1" t="n"/>
      <c r="D297" s="2" t="n"/>
      <c r="E297" s="2" t="n"/>
      <c r="F297" s="1" t="n"/>
      <c r="G297" s="1" t="n"/>
      <c r="H297" s="3" t="n"/>
      <c r="I297" s="3" t="n"/>
    </row>
    <row r="298" ht="14.25" customHeight="1" s="101">
      <c r="A298" s="1" t="n"/>
      <c r="D298" s="2" t="n"/>
      <c r="E298" s="2" t="n"/>
      <c r="F298" s="1" t="n"/>
      <c r="G298" s="1" t="n"/>
      <c r="H298" s="3" t="n"/>
      <c r="I298" s="3" t="n"/>
    </row>
    <row r="299" ht="14.25" customHeight="1" s="101">
      <c r="A299" s="1" t="n"/>
      <c r="D299" s="2" t="n"/>
      <c r="E299" s="2" t="n"/>
      <c r="F299" s="1" t="n"/>
      <c r="G299" s="1" t="n"/>
      <c r="H299" s="3" t="n"/>
      <c r="I299" s="3" t="n"/>
    </row>
    <row r="300" ht="14.25" customHeight="1" s="101">
      <c r="A300" s="1" t="n"/>
      <c r="D300" s="2" t="n"/>
      <c r="E300" s="2" t="n"/>
      <c r="F300" s="1" t="n"/>
      <c r="G300" s="1" t="n"/>
      <c r="H300" s="3" t="n"/>
      <c r="I300" s="3" t="n"/>
    </row>
    <row r="301" ht="14.25" customHeight="1" s="101">
      <c r="A301" s="1" t="n"/>
      <c r="D301" s="2" t="n"/>
      <c r="E301" s="2" t="n"/>
      <c r="F301" s="1" t="n"/>
      <c r="G301" s="1" t="n"/>
      <c r="H301" s="3" t="n"/>
      <c r="I301" s="3" t="n"/>
    </row>
    <row r="302" ht="14.25" customHeight="1" s="101">
      <c r="A302" s="1" t="n"/>
      <c r="D302" s="2" t="n"/>
      <c r="E302" s="2" t="n"/>
      <c r="F302" s="1" t="n"/>
      <c r="G302" s="1" t="n"/>
      <c r="H302" s="3" t="n"/>
      <c r="I302" s="3" t="n"/>
    </row>
    <row r="303" ht="14.25" customHeight="1" s="101">
      <c r="A303" s="1" t="n"/>
      <c r="D303" s="2" t="n"/>
      <c r="E303" s="2" t="n"/>
      <c r="F303" s="1" t="n"/>
      <c r="G303" s="1" t="n"/>
      <c r="H303" s="3" t="n"/>
      <c r="I303" s="3" t="n"/>
    </row>
    <row r="304" ht="14.25" customHeight="1" s="101">
      <c r="A304" s="1" t="n"/>
      <c r="D304" s="2" t="n"/>
      <c r="E304" s="2" t="n"/>
      <c r="F304" s="1" t="n"/>
      <c r="G304" s="1" t="n"/>
      <c r="H304" s="3" t="n"/>
      <c r="I304" s="3" t="n"/>
    </row>
    <row r="305" ht="14.25" customHeight="1" s="101">
      <c r="A305" s="1" t="n"/>
      <c r="D305" s="2" t="n"/>
      <c r="E305" s="2" t="n"/>
      <c r="F305" s="1" t="n"/>
      <c r="G305" s="1" t="n"/>
      <c r="H305" s="3" t="n"/>
      <c r="I305" s="3" t="n"/>
    </row>
    <row r="306" ht="14.25" customHeight="1" s="101">
      <c r="A306" s="1" t="n"/>
      <c r="D306" s="2" t="n"/>
      <c r="E306" s="2" t="n"/>
      <c r="F306" s="1" t="n"/>
      <c r="G306" s="1" t="n"/>
      <c r="H306" s="3" t="n"/>
      <c r="I306" s="3" t="n"/>
    </row>
    <row r="307" ht="14.25" customHeight="1" s="101">
      <c r="A307" s="1" t="n"/>
      <c r="D307" s="2" t="n"/>
      <c r="E307" s="2" t="n"/>
      <c r="F307" s="1" t="n"/>
      <c r="G307" s="1" t="n"/>
      <c r="H307" s="3" t="n"/>
      <c r="I307" s="3" t="n"/>
    </row>
    <row r="308" ht="14.25" customHeight="1" s="101">
      <c r="A308" s="1" t="n"/>
      <c r="D308" s="2" t="n"/>
      <c r="E308" s="2" t="n"/>
      <c r="F308" s="1" t="n"/>
      <c r="G308" s="1" t="n"/>
      <c r="H308" s="3" t="n"/>
      <c r="I308" s="3" t="n"/>
    </row>
    <row r="309" ht="14.25" customHeight="1" s="101">
      <c r="A309" s="1" t="n"/>
      <c r="D309" s="2" t="n"/>
      <c r="E309" s="2" t="n"/>
      <c r="F309" s="1" t="n"/>
      <c r="G309" s="1" t="n"/>
      <c r="H309" s="3" t="n"/>
      <c r="I309" s="3" t="n"/>
    </row>
    <row r="310" ht="14.25" customHeight="1" s="101">
      <c r="A310" s="1" t="n"/>
      <c r="D310" s="2" t="n"/>
      <c r="E310" s="2" t="n"/>
      <c r="F310" s="1" t="n"/>
      <c r="G310" s="1" t="n"/>
      <c r="H310" s="3" t="n"/>
      <c r="I310" s="3" t="n"/>
    </row>
    <row r="311" ht="14.25" customHeight="1" s="101">
      <c r="A311" s="1" t="n"/>
      <c r="D311" s="2" t="n"/>
      <c r="E311" s="2" t="n"/>
      <c r="F311" s="1" t="n"/>
      <c r="G311" s="1" t="n"/>
      <c r="H311" s="3" t="n"/>
      <c r="I311" s="3" t="n"/>
    </row>
    <row r="312" ht="14.25" customHeight="1" s="101">
      <c r="A312" s="1" t="n"/>
      <c r="D312" s="2" t="n"/>
      <c r="E312" s="2" t="n"/>
      <c r="F312" s="1" t="n"/>
      <c r="G312" s="1" t="n"/>
      <c r="H312" s="3" t="n"/>
      <c r="I312" s="3" t="n"/>
    </row>
    <row r="313" ht="14.25" customHeight="1" s="101">
      <c r="A313" s="1" t="n"/>
      <c r="D313" s="2" t="n"/>
      <c r="E313" s="2" t="n"/>
      <c r="F313" s="1" t="n"/>
      <c r="G313" s="1" t="n"/>
      <c r="H313" s="3" t="n"/>
      <c r="I313" s="3" t="n"/>
    </row>
    <row r="314" ht="14.25" customHeight="1" s="101">
      <c r="A314" s="1" t="n"/>
      <c r="D314" s="2" t="n"/>
      <c r="E314" s="2" t="n"/>
      <c r="F314" s="1" t="n"/>
      <c r="G314" s="1" t="n"/>
      <c r="H314" s="3" t="n"/>
      <c r="I314" s="3" t="n"/>
    </row>
    <row r="315" ht="14.25" customHeight="1" s="101">
      <c r="A315" s="1" t="n"/>
      <c r="D315" s="2" t="n"/>
      <c r="E315" s="2" t="n"/>
      <c r="F315" s="1" t="n"/>
      <c r="G315" s="1" t="n"/>
      <c r="H315" s="3" t="n"/>
      <c r="I315" s="3" t="n"/>
    </row>
    <row r="316" ht="14.25" customHeight="1" s="101">
      <c r="A316" s="1" t="n"/>
      <c r="D316" s="2" t="n"/>
      <c r="E316" s="2" t="n"/>
      <c r="F316" s="1" t="n"/>
      <c r="G316" s="1" t="n"/>
      <c r="H316" s="3" t="n"/>
      <c r="I316" s="3" t="n"/>
    </row>
    <row r="317" ht="14.25" customHeight="1" s="101">
      <c r="A317" s="1" t="n"/>
      <c r="D317" s="2" t="n"/>
      <c r="E317" s="2" t="n"/>
      <c r="F317" s="1" t="n"/>
      <c r="G317" s="1" t="n"/>
      <c r="H317" s="3" t="n"/>
      <c r="I317" s="3" t="n"/>
    </row>
    <row r="318" ht="14.25" customHeight="1" s="101">
      <c r="A318" s="1" t="n"/>
      <c r="D318" s="2" t="n"/>
      <c r="E318" s="2" t="n"/>
      <c r="F318" s="1" t="n"/>
      <c r="G318" s="1" t="n"/>
      <c r="H318" s="3" t="n"/>
      <c r="I318" s="3" t="n"/>
    </row>
    <row r="319" ht="14.25" customHeight="1" s="101">
      <c r="A319" s="1" t="n"/>
      <c r="D319" s="2" t="n"/>
      <c r="E319" s="2" t="n"/>
      <c r="F319" s="1" t="n"/>
      <c r="G319" s="1" t="n"/>
      <c r="H319" s="3" t="n"/>
      <c r="I319" s="3" t="n"/>
    </row>
    <row r="320" ht="14.25" customHeight="1" s="101">
      <c r="A320" s="1" t="n"/>
      <c r="D320" s="2" t="n"/>
      <c r="E320" s="2" t="n"/>
      <c r="F320" s="1" t="n"/>
      <c r="G320" s="1" t="n"/>
      <c r="H320" s="3" t="n"/>
      <c r="I320" s="3" t="n"/>
    </row>
    <row r="321" ht="14.25" customHeight="1" s="101">
      <c r="A321" s="1" t="n"/>
      <c r="D321" s="2" t="n"/>
      <c r="E321" s="2" t="n"/>
      <c r="F321" s="1" t="n"/>
      <c r="G321" s="1" t="n"/>
      <c r="H321" s="3" t="n"/>
      <c r="I321" s="3" t="n"/>
    </row>
    <row r="322" ht="14.25" customHeight="1" s="101">
      <c r="A322" s="1" t="n"/>
      <c r="D322" s="2" t="n"/>
      <c r="E322" s="2" t="n"/>
      <c r="F322" s="1" t="n"/>
      <c r="G322" s="1" t="n"/>
      <c r="H322" s="3" t="n"/>
      <c r="I322" s="3" t="n"/>
    </row>
    <row r="323" ht="14.25" customHeight="1" s="101">
      <c r="A323" s="1" t="n"/>
      <c r="D323" s="2" t="n"/>
      <c r="E323" s="2" t="n"/>
      <c r="F323" s="1" t="n"/>
      <c r="G323" s="1" t="n"/>
      <c r="H323" s="3" t="n"/>
      <c r="I323" s="3" t="n"/>
    </row>
    <row r="324" ht="14.25" customHeight="1" s="101">
      <c r="A324" s="1" t="n"/>
      <c r="D324" s="2" t="n"/>
      <c r="E324" s="2" t="n"/>
      <c r="F324" s="1" t="n"/>
      <c r="G324" s="1" t="n"/>
      <c r="H324" s="3" t="n"/>
      <c r="I324" s="3" t="n"/>
    </row>
    <row r="325" ht="14.25" customHeight="1" s="101">
      <c r="A325" s="1" t="n"/>
      <c r="D325" s="2" t="n"/>
      <c r="E325" s="2" t="n"/>
      <c r="F325" s="1" t="n"/>
      <c r="G325" s="1" t="n"/>
      <c r="H325" s="3" t="n"/>
      <c r="I325" s="3" t="n"/>
    </row>
    <row r="326" ht="14.25" customHeight="1" s="101">
      <c r="A326" s="1" t="n"/>
      <c r="D326" s="2" t="n"/>
      <c r="E326" s="2" t="n"/>
      <c r="F326" s="1" t="n"/>
      <c r="G326" s="1" t="n"/>
      <c r="H326" s="3" t="n"/>
      <c r="I326" s="3" t="n"/>
    </row>
    <row r="327" ht="14.25" customHeight="1" s="101">
      <c r="A327" s="1" t="n"/>
      <c r="D327" s="2" t="n"/>
      <c r="E327" s="2" t="n"/>
      <c r="F327" s="1" t="n"/>
      <c r="G327" s="1" t="n"/>
      <c r="H327" s="3" t="n"/>
      <c r="I327" s="3" t="n"/>
    </row>
    <row r="328" ht="14.25" customHeight="1" s="101">
      <c r="A328" s="1" t="n"/>
      <c r="D328" s="2" t="n"/>
      <c r="E328" s="2" t="n"/>
      <c r="F328" s="1" t="n"/>
      <c r="G328" s="1" t="n"/>
      <c r="H328" s="3" t="n"/>
      <c r="I328" s="3" t="n"/>
    </row>
    <row r="329" ht="14.25" customHeight="1" s="101">
      <c r="A329" s="1" t="n"/>
      <c r="D329" s="2" t="n"/>
      <c r="E329" s="2" t="n"/>
      <c r="F329" s="1" t="n"/>
      <c r="G329" s="1" t="n"/>
      <c r="H329" s="3" t="n"/>
      <c r="I329" s="3" t="n"/>
    </row>
    <row r="330" ht="14.25" customHeight="1" s="101">
      <c r="A330" s="1" t="n"/>
      <c r="D330" s="2" t="n"/>
      <c r="E330" s="2" t="n"/>
      <c r="F330" s="1" t="n"/>
      <c r="G330" s="1" t="n"/>
      <c r="H330" s="3" t="n"/>
      <c r="I330" s="3" t="n"/>
    </row>
    <row r="331" ht="14.25" customHeight="1" s="101">
      <c r="A331" s="1" t="n"/>
      <c r="D331" s="2" t="n"/>
      <c r="E331" s="2" t="n"/>
      <c r="F331" s="1" t="n"/>
      <c r="G331" s="1" t="n"/>
      <c r="H331" s="3" t="n"/>
      <c r="I331" s="3" t="n"/>
    </row>
    <row r="332" ht="14.25" customHeight="1" s="101">
      <c r="A332" s="1" t="n"/>
      <c r="D332" s="2" t="n"/>
      <c r="E332" s="2" t="n"/>
      <c r="F332" s="1" t="n"/>
      <c r="G332" s="1" t="n"/>
      <c r="H332" s="3" t="n"/>
      <c r="I332" s="3" t="n"/>
    </row>
    <row r="333" ht="14.25" customHeight="1" s="101">
      <c r="A333" s="1" t="n"/>
      <c r="D333" s="2" t="n"/>
      <c r="E333" s="2" t="n"/>
      <c r="F333" s="1" t="n"/>
      <c r="G333" s="1" t="n"/>
      <c r="H333" s="3" t="n"/>
      <c r="I333" s="3" t="n"/>
    </row>
    <row r="334" ht="14.25" customHeight="1" s="101">
      <c r="A334" s="1" t="n"/>
      <c r="D334" s="2" t="n"/>
      <c r="E334" s="2" t="n"/>
      <c r="F334" s="1" t="n"/>
      <c r="G334" s="1" t="n"/>
      <c r="H334" s="3" t="n"/>
      <c r="I334" s="3" t="n"/>
    </row>
    <row r="335" ht="14.25" customHeight="1" s="101">
      <c r="A335" s="1" t="n"/>
      <c r="D335" s="2" t="n"/>
      <c r="E335" s="2" t="n"/>
      <c r="F335" s="1" t="n"/>
      <c r="G335" s="1" t="n"/>
      <c r="H335" s="3" t="n"/>
      <c r="I335" s="3" t="n"/>
    </row>
    <row r="336" ht="14.25" customHeight="1" s="101">
      <c r="A336" s="1" t="n"/>
      <c r="D336" s="2" t="n"/>
      <c r="E336" s="2" t="n"/>
      <c r="F336" s="1" t="n"/>
      <c r="G336" s="1" t="n"/>
      <c r="H336" s="3" t="n"/>
      <c r="I336" s="3" t="n"/>
    </row>
    <row r="337" ht="14.25" customHeight="1" s="101">
      <c r="A337" s="1" t="n"/>
      <c r="D337" s="2" t="n"/>
      <c r="E337" s="2" t="n"/>
      <c r="F337" s="1" t="n"/>
      <c r="G337" s="1" t="n"/>
      <c r="H337" s="3" t="n"/>
      <c r="I337" s="3" t="n"/>
    </row>
    <row r="338" ht="14.25" customHeight="1" s="101">
      <c r="A338" s="1" t="n"/>
      <c r="D338" s="2" t="n"/>
      <c r="E338" s="2" t="n"/>
      <c r="F338" s="1" t="n"/>
      <c r="G338" s="1" t="n"/>
      <c r="H338" s="3" t="n"/>
      <c r="I338" s="3" t="n"/>
    </row>
    <row r="339" ht="14.25" customHeight="1" s="101">
      <c r="A339" s="1" t="n"/>
      <c r="D339" s="2" t="n"/>
      <c r="E339" s="2" t="n"/>
      <c r="F339" s="1" t="n"/>
      <c r="G339" s="1" t="n"/>
      <c r="H339" s="3" t="n"/>
      <c r="I339" s="3" t="n"/>
    </row>
    <row r="340" ht="14.25" customHeight="1" s="101">
      <c r="A340" s="1" t="n"/>
      <c r="D340" s="2" t="n"/>
      <c r="E340" s="2" t="n"/>
      <c r="F340" s="1" t="n"/>
      <c r="G340" s="1" t="n"/>
      <c r="H340" s="3" t="n"/>
      <c r="I340" s="3" t="n"/>
    </row>
    <row r="341" ht="14.25" customHeight="1" s="101">
      <c r="A341" s="1" t="n"/>
      <c r="D341" s="2" t="n"/>
      <c r="E341" s="2" t="n"/>
      <c r="F341" s="1" t="n"/>
      <c r="G341" s="1" t="n"/>
      <c r="H341" s="3" t="n"/>
      <c r="I341" s="3" t="n"/>
    </row>
    <row r="342" ht="14.25" customHeight="1" s="101">
      <c r="A342" s="1" t="n"/>
      <c r="D342" s="2" t="n"/>
      <c r="E342" s="2" t="n"/>
      <c r="F342" s="1" t="n"/>
      <c r="G342" s="1" t="n"/>
      <c r="H342" s="3" t="n"/>
      <c r="I342" s="3" t="n"/>
    </row>
    <row r="343" ht="14.25" customHeight="1" s="101">
      <c r="A343" s="1" t="n"/>
      <c r="D343" s="2" t="n"/>
      <c r="E343" s="2" t="n"/>
      <c r="F343" s="1" t="n"/>
      <c r="G343" s="1" t="n"/>
      <c r="H343" s="3" t="n"/>
      <c r="I343" s="3" t="n"/>
    </row>
    <row r="344" ht="14.25" customHeight="1" s="101">
      <c r="A344" s="1" t="n"/>
      <c r="D344" s="2" t="n"/>
      <c r="E344" s="2" t="n"/>
      <c r="F344" s="1" t="n"/>
      <c r="G344" s="1" t="n"/>
      <c r="H344" s="3" t="n"/>
      <c r="I344" s="3" t="n"/>
    </row>
    <row r="345" ht="14.25" customHeight="1" s="101">
      <c r="A345" s="1" t="n"/>
      <c r="D345" s="2" t="n"/>
      <c r="E345" s="2" t="n"/>
      <c r="F345" s="1" t="n"/>
      <c r="G345" s="1" t="n"/>
      <c r="H345" s="3" t="n"/>
      <c r="I345" s="3" t="n"/>
    </row>
    <row r="346" ht="14.25" customHeight="1" s="101">
      <c r="A346" s="1" t="n"/>
      <c r="D346" s="2" t="n"/>
      <c r="E346" s="2" t="n"/>
      <c r="F346" s="1" t="n"/>
      <c r="G346" s="1" t="n"/>
      <c r="H346" s="3" t="n"/>
      <c r="I346" s="3" t="n"/>
    </row>
    <row r="347" ht="14.25" customHeight="1" s="101">
      <c r="A347" s="1" t="n"/>
      <c r="D347" s="2" t="n"/>
      <c r="E347" s="2" t="n"/>
      <c r="F347" s="1" t="n"/>
      <c r="G347" s="1" t="n"/>
      <c r="H347" s="3" t="n"/>
      <c r="I347" s="3" t="n"/>
    </row>
    <row r="348" ht="14.25" customHeight="1" s="101">
      <c r="A348" s="1" t="n"/>
      <c r="D348" s="2" t="n"/>
      <c r="E348" s="2" t="n"/>
      <c r="F348" s="1" t="n"/>
      <c r="G348" s="1" t="n"/>
      <c r="H348" s="3" t="n"/>
      <c r="I348" s="3" t="n"/>
    </row>
    <row r="349" ht="14.25" customHeight="1" s="101">
      <c r="A349" s="1" t="n"/>
      <c r="D349" s="2" t="n"/>
      <c r="E349" s="2" t="n"/>
      <c r="F349" s="1" t="n"/>
      <c r="G349" s="1" t="n"/>
      <c r="H349" s="3" t="n"/>
      <c r="I349" s="3" t="n"/>
    </row>
    <row r="350" ht="14.25" customHeight="1" s="101">
      <c r="A350" s="1" t="n"/>
      <c r="D350" s="2" t="n"/>
      <c r="E350" s="2" t="n"/>
      <c r="F350" s="1" t="n"/>
      <c r="G350" s="1" t="n"/>
      <c r="H350" s="3" t="n"/>
      <c r="I350" s="3" t="n"/>
    </row>
    <row r="351" ht="14.25" customHeight="1" s="101">
      <c r="A351" s="1" t="n"/>
      <c r="D351" s="2" t="n"/>
      <c r="E351" s="2" t="n"/>
      <c r="F351" s="1" t="n"/>
      <c r="G351" s="1" t="n"/>
      <c r="H351" s="3" t="n"/>
      <c r="I351" s="3" t="n"/>
    </row>
    <row r="352" ht="14.25" customHeight="1" s="101">
      <c r="A352" s="1" t="n"/>
      <c r="D352" s="2" t="n"/>
      <c r="E352" s="2" t="n"/>
      <c r="F352" s="1" t="n"/>
      <c r="G352" s="1" t="n"/>
      <c r="H352" s="3" t="n"/>
      <c r="I352" s="3" t="n"/>
    </row>
    <row r="353" ht="14.25" customHeight="1" s="101">
      <c r="A353" s="1" t="n"/>
      <c r="D353" s="2" t="n"/>
      <c r="E353" s="2" t="n"/>
      <c r="F353" s="1" t="n"/>
      <c r="G353" s="1" t="n"/>
      <c r="H353" s="3" t="n"/>
      <c r="I353" s="3" t="n"/>
    </row>
    <row r="354" ht="14.25" customHeight="1" s="101">
      <c r="A354" s="1" t="n"/>
      <c r="D354" s="2" t="n"/>
      <c r="E354" s="2" t="n"/>
      <c r="F354" s="1" t="n"/>
      <c r="G354" s="1" t="n"/>
      <c r="H354" s="3" t="n"/>
      <c r="I354" s="3" t="n"/>
    </row>
    <row r="355" ht="14.25" customHeight="1" s="101">
      <c r="A355" s="1" t="n"/>
      <c r="D355" s="2" t="n"/>
      <c r="E355" s="2" t="n"/>
      <c r="F355" s="1" t="n"/>
      <c r="G355" s="1" t="n"/>
      <c r="H355" s="3" t="n"/>
      <c r="I355" s="3" t="n"/>
    </row>
    <row r="356" ht="14.25" customHeight="1" s="101">
      <c r="A356" s="1" t="n"/>
      <c r="D356" s="2" t="n"/>
      <c r="E356" s="2" t="n"/>
      <c r="F356" s="1" t="n"/>
      <c r="G356" s="1" t="n"/>
      <c r="H356" s="3" t="n"/>
      <c r="I356" s="3" t="n"/>
    </row>
    <row r="357" ht="14.25" customHeight="1" s="101">
      <c r="A357" s="1" t="n"/>
      <c r="D357" s="2" t="n"/>
      <c r="E357" s="2" t="n"/>
      <c r="F357" s="1" t="n"/>
      <c r="G357" s="1" t="n"/>
      <c r="H357" s="3" t="n"/>
      <c r="I357" s="3" t="n"/>
    </row>
    <row r="358" ht="14.25" customHeight="1" s="101">
      <c r="A358" s="1" t="n"/>
      <c r="D358" s="2" t="n"/>
      <c r="E358" s="2" t="n"/>
      <c r="F358" s="1" t="n"/>
      <c r="G358" s="1" t="n"/>
      <c r="H358" s="3" t="n"/>
      <c r="I358" s="3" t="n"/>
    </row>
    <row r="359" ht="14.25" customHeight="1" s="101">
      <c r="A359" s="1" t="n"/>
      <c r="D359" s="2" t="n"/>
      <c r="E359" s="2" t="n"/>
      <c r="F359" s="1" t="n"/>
      <c r="G359" s="1" t="n"/>
      <c r="H359" s="3" t="n"/>
      <c r="I359" s="3" t="n"/>
    </row>
    <row r="360" ht="14.25" customHeight="1" s="101">
      <c r="A360" s="1" t="n"/>
      <c r="D360" s="2" t="n"/>
      <c r="E360" s="2" t="n"/>
      <c r="F360" s="1" t="n"/>
      <c r="G360" s="1" t="n"/>
      <c r="H360" s="3" t="n"/>
      <c r="I360" s="3" t="n"/>
    </row>
    <row r="361" ht="14.25" customHeight="1" s="101">
      <c r="A361" s="1" t="n"/>
      <c r="D361" s="2" t="n"/>
      <c r="E361" s="2" t="n"/>
      <c r="F361" s="1" t="n"/>
      <c r="G361" s="1" t="n"/>
      <c r="H361" s="3" t="n"/>
      <c r="I361" s="3" t="n"/>
    </row>
    <row r="362" ht="14.25" customHeight="1" s="101">
      <c r="A362" s="1" t="n"/>
      <c r="D362" s="2" t="n"/>
      <c r="E362" s="2" t="n"/>
      <c r="F362" s="1" t="n"/>
      <c r="G362" s="1" t="n"/>
      <c r="H362" s="3" t="n"/>
      <c r="I362" s="3" t="n"/>
    </row>
    <row r="363" ht="14.25" customHeight="1" s="101">
      <c r="A363" s="1" t="n"/>
      <c r="D363" s="2" t="n"/>
      <c r="E363" s="2" t="n"/>
      <c r="F363" s="1" t="n"/>
      <c r="G363" s="1" t="n"/>
      <c r="H363" s="3" t="n"/>
      <c r="I363" s="3" t="n"/>
    </row>
    <row r="364" ht="14.25" customHeight="1" s="101">
      <c r="A364" s="1" t="n"/>
      <c r="D364" s="2" t="n"/>
      <c r="E364" s="2" t="n"/>
      <c r="F364" s="1" t="n"/>
      <c r="G364" s="1" t="n"/>
      <c r="H364" s="3" t="n"/>
      <c r="I364" s="3" t="n"/>
    </row>
    <row r="365" ht="14.25" customHeight="1" s="101">
      <c r="A365" s="1" t="n"/>
      <c r="D365" s="2" t="n"/>
      <c r="E365" s="2" t="n"/>
      <c r="F365" s="1" t="n"/>
      <c r="G365" s="1" t="n"/>
      <c r="H365" s="3" t="n"/>
      <c r="I365" s="3" t="n"/>
    </row>
    <row r="366" ht="14.25" customHeight="1" s="101">
      <c r="A366" s="1" t="n"/>
      <c r="D366" s="2" t="n"/>
      <c r="E366" s="2" t="n"/>
      <c r="F366" s="1" t="n"/>
      <c r="G366" s="1" t="n"/>
      <c r="H366" s="3" t="n"/>
      <c r="I366" s="3" t="n"/>
    </row>
    <row r="367" ht="14.25" customHeight="1" s="101">
      <c r="A367" s="1" t="n"/>
      <c r="D367" s="2" t="n"/>
      <c r="E367" s="2" t="n"/>
      <c r="F367" s="1" t="n"/>
      <c r="G367" s="1" t="n"/>
      <c r="H367" s="3" t="n"/>
      <c r="I367" s="3" t="n"/>
    </row>
    <row r="368" ht="14.25" customHeight="1" s="101">
      <c r="A368" s="1" t="n"/>
      <c r="D368" s="2" t="n"/>
      <c r="E368" s="2" t="n"/>
      <c r="F368" s="1" t="n"/>
      <c r="G368" s="1" t="n"/>
      <c r="H368" s="3" t="n"/>
      <c r="I368" s="3" t="n"/>
    </row>
    <row r="369" ht="14.25" customHeight="1" s="101">
      <c r="A369" s="1" t="n"/>
      <c r="D369" s="2" t="n"/>
      <c r="E369" s="2" t="n"/>
      <c r="F369" s="1" t="n"/>
      <c r="G369" s="1" t="n"/>
      <c r="H369" s="3" t="n"/>
      <c r="I369" s="3" t="n"/>
    </row>
    <row r="370" ht="14.25" customHeight="1" s="101">
      <c r="A370" s="1" t="n"/>
      <c r="D370" s="2" t="n"/>
      <c r="E370" s="2" t="n"/>
      <c r="F370" s="1" t="n"/>
      <c r="G370" s="1" t="n"/>
      <c r="H370" s="3" t="n"/>
      <c r="I370" s="3" t="n"/>
    </row>
    <row r="371" ht="14.25" customHeight="1" s="101">
      <c r="A371" s="1" t="n"/>
      <c r="D371" s="2" t="n"/>
      <c r="E371" s="2" t="n"/>
      <c r="F371" s="1" t="n"/>
      <c r="G371" s="1" t="n"/>
      <c r="H371" s="3" t="n"/>
      <c r="I371" s="3" t="n"/>
    </row>
    <row r="372" ht="14.25" customHeight="1" s="101">
      <c r="A372" s="1" t="n"/>
      <c r="D372" s="2" t="n"/>
      <c r="E372" s="2" t="n"/>
      <c r="F372" s="1" t="n"/>
      <c r="G372" s="1" t="n"/>
      <c r="H372" s="3" t="n"/>
      <c r="I372" s="3" t="n"/>
    </row>
    <row r="373" ht="14.25" customHeight="1" s="101">
      <c r="A373" s="1" t="n"/>
      <c r="D373" s="2" t="n"/>
      <c r="E373" s="2" t="n"/>
      <c r="F373" s="1" t="n"/>
      <c r="G373" s="1" t="n"/>
      <c r="H373" s="3" t="n"/>
      <c r="I373" s="3" t="n"/>
    </row>
    <row r="374" ht="14.25" customHeight="1" s="101">
      <c r="A374" s="1" t="n"/>
      <c r="D374" s="2" t="n"/>
      <c r="E374" s="2" t="n"/>
      <c r="F374" s="1" t="n"/>
      <c r="G374" s="1" t="n"/>
      <c r="H374" s="3" t="n"/>
      <c r="I374" s="3" t="n"/>
    </row>
    <row r="375" ht="14.25" customHeight="1" s="101">
      <c r="A375" s="1" t="n"/>
      <c r="D375" s="2" t="n"/>
      <c r="E375" s="2" t="n"/>
      <c r="F375" s="1" t="n"/>
      <c r="G375" s="1" t="n"/>
      <c r="H375" s="3" t="n"/>
      <c r="I375" s="3" t="n"/>
    </row>
    <row r="376" ht="14.25" customHeight="1" s="101">
      <c r="A376" s="1" t="n"/>
      <c r="D376" s="2" t="n"/>
      <c r="E376" s="2" t="n"/>
      <c r="F376" s="1" t="n"/>
      <c r="G376" s="1" t="n"/>
      <c r="H376" s="3" t="n"/>
      <c r="I376" s="3" t="n"/>
    </row>
    <row r="377" ht="14.25" customHeight="1" s="101">
      <c r="A377" s="1" t="n"/>
      <c r="D377" s="2" t="n"/>
      <c r="E377" s="2" t="n"/>
      <c r="F377" s="1" t="n"/>
      <c r="G377" s="1" t="n"/>
      <c r="H377" s="3" t="n"/>
      <c r="I377" s="3" t="n"/>
    </row>
    <row r="378" ht="14.25" customHeight="1" s="101">
      <c r="A378" s="1" t="n"/>
      <c r="D378" s="2" t="n"/>
      <c r="E378" s="2" t="n"/>
      <c r="F378" s="1" t="n"/>
      <c r="G378" s="1" t="n"/>
      <c r="H378" s="3" t="n"/>
      <c r="I378" s="3" t="n"/>
    </row>
    <row r="379" ht="14.25" customHeight="1" s="101">
      <c r="A379" s="1" t="n"/>
      <c r="D379" s="2" t="n"/>
      <c r="E379" s="2" t="n"/>
      <c r="F379" s="1" t="n"/>
      <c r="G379" s="1" t="n"/>
      <c r="H379" s="3" t="n"/>
      <c r="I379" s="3" t="n"/>
    </row>
    <row r="380" ht="14.25" customHeight="1" s="101">
      <c r="A380" s="1" t="n"/>
      <c r="D380" s="2" t="n"/>
      <c r="E380" s="2" t="n"/>
      <c r="F380" s="1" t="n"/>
      <c r="G380" s="1" t="n"/>
      <c r="H380" s="3" t="n"/>
      <c r="I380" s="3" t="n"/>
    </row>
    <row r="381" ht="14.25" customHeight="1" s="101">
      <c r="A381" s="1" t="n"/>
      <c r="D381" s="2" t="n"/>
      <c r="E381" s="2" t="n"/>
      <c r="F381" s="1" t="n"/>
      <c r="G381" s="1" t="n"/>
      <c r="H381" s="3" t="n"/>
      <c r="I381" s="3" t="n"/>
    </row>
    <row r="382" ht="14.25" customHeight="1" s="101">
      <c r="A382" s="1" t="n"/>
      <c r="D382" s="2" t="n"/>
      <c r="E382" s="2" t="n"/>
      <c r="F382" s="1" t="n"/>
      <c r="G382" s="1" t="n"/>
      <c r="H382" s="3" t="n"/>
      <c r="I382" s="3" t="n"/>
    </row>
    <row r="383" ht="14.25" customHeight="1" s="101">
      <c r="A383" s="1" t="n"/>
      <c r="D383" s="2" t="n"/>
      <c r="E383" s="2" t="n"/>
      <c r="F383" s="1" t="n"/>
      <c r="G383" s="1" t="n"/>
      <c r="H383" s="3" t="n"/>
      <c r="I383" s="3" t="n"/>
    </row>
    <row r="384" ht="14.25" customHeight="1" s="101">
      <c r="A384" s="1" t="n"/>
      <c r="D384" s="2" t="n"/>
      <c r="E384" s="2" t="n"/>
      <c r="F384" s="1" t="n"/>
      <c r="G384" s="1" t="n"/>
      <c r="H384" s="3" t="n"/>
      <c r="I384" s="3" t="n"/>
    </row>
    <row r="385" ht="14.25" customHeight="1" s="101">
      <c r="A385" s="1" t="n"/>
      <c r="D385" s="2" t="n"/>
      <c r="E385" s="2" t="n"/>
      <c r="F385" s="1" t="n"/>
      <c r="G385" s="1" t="n"/>
      <c r="H385" s="3" t="n"/>
      <c r="I385" s="3" t="n"/>
    </row>
    <row r="386" ht="14.25" customHeight="1" s="101">
      <c r="A386" s="1" t="n"/>
      <c r="D386" s="2" t="n"/>
      <c r="E386" s="2" t="n"/>
      <c r="F386" s="1" t="n"/>
      <c r="G386" s="1" t="n"/>
      <c r="H386" s="3" t="n"/>
      <c r="I386" s="3" t="n"/>
    </row>
    <row r="387" ht="14.25" customHeight="1" s="101">
      <c r="A387" s="1" t="n"/>
      <c r="D387" s="2" t="n"/>
      <c r="E387" s="2" t="n"/>
      <c r="F387" s="1" t="n"/>
      <c r="G387" s="1" t="n"/>
      <c r="H387" s="3" t="n"/>
      <c r="I387" s="3" t="n"/>
    </row>
    <row r="388" ht="14.25" customHeight="1" s="101">
      <c r="A388" s="1" t="n"/>
      <c r="D388" s="2" t="n"/>
      <c r="E388" s="2" t="n"/>
      <c r="F388" s="1" t="n"/>
      <c r="G388" s="1" t="n"/>
      <c r="H388" s="3" t="n"/>
      <c r="I388" s="3" t="n"/>
    </row>
    <row r="389" ht="14.25" customHeight="1" s="101">
      <c r="A389" s="1" t="n"/>
      <c r="D389" s="2" t="n"/>
      <c r="E389" s="2" t="n"/>
      <c r="F389" s="1" t="n"/>
      <c r="G389" s="1" t="n"/>
      <c r="H389" s="3" t="n"/>
      <c r="I389" s="3" t="n"/>
    </row>
    <row r="390" ht="14.25" customHeight="1" s="101">
      <c r="A390" s="1" t="n"/>
      <c r="D390" s="2" t="n"/>
      <c r="E390" s="2" t="n"/>
      <c r="F390" s="1" t="n"/>
      <c r="G390" s="1" t="n"/>
      <c r="H390" s="3" t="n"/>
      <c r="I390" s="3" t="n"/>
    </row>
    <row r="391" ht="14.25" customHeight="1" s="101">
      <c r="A391" s="1" t="n"/>
      <c r="D391" s="2" t="n"/>
      <c r="E391" s="2" t="n"/>
      <c r="F391" s="1" t="n"/>
      <c r="G391" s="1" t="n"/>
      <c r="H391" s="3" t="n"/>
      <c r="I391" s="3" t="n"/>
    </row>
    <row r="392" ht="14.25" customHeight="1" s="101">
      <c r="A392" s="1" t="n"/>
      <c r="D392" s="2" t="n"/>
      <c r="E392" s="2" t="n"/>
      <c r="F392" s="1" t="n"/>
      <c r="G392" s="1" t="n"/>
      <c r="H392" s="3" t="n"/>
      <c r="I392" s="3" t="n"/>
    </row>
    <row r="393" ht="14.25" customHeight="1" s="101">
      <c r="A393" s="1" t="n"/>
      <c r="D393" s="2" t="n"/>
      <c r="E393" s="2" t="n"/>
      <c r="F393" s="1" t="n"/>
      <c r="G393" s="1" t="n"/>
      <c r="H393" s="3" t="n"/>
      <c r="I393" s="3" t="n"/>
    </row>
    <row r="394" ht="14.25" customHeight="1" s="101">
      <c r="A394" s="1" t="n"/>
      <c r="D394" s="2" t="n"/>
      <c r="E394" s="2" t="n"/>
      <c r="F394" s="1" t="n"/>
      <c r="G394" s="1" t="n"/>
      <c r="H394" s="3" t="n"/>
      <c r="I394" s="3" t="n"/>
    </row>
    <row r="395" ht="14.25" customHeight="1" s="101">
      <c r="A395" s="1" t="n"/>
      <c r="D395" s="2" t="n"/>
      <c r="E395" s="2" t="n"/>
      <c r="F395" s="1" t="n"/>
      <c r="G395" s="1" t="n"/>
      <c r="H395" s="3" t="n"/>
      <c r="I395" s="3" t="n"/>
    </row>
    <row r="396" ht="14.25" customHeight="1" s="101">
      <c r="A396" s="1" t="n"/>
      <c r="D396" s="2" t="n"/>
      <c r="E396" s="2" t="n"/>
      <c r="F396" s="1" t="n"/>
      <c r="G396" s="1" t="n"/>
      <c r="H396" s="3" t="n"/>
      <c r="I396" s="3" t="n"/>
    </row>
    <row r="397" ht="14.25" customHeight="1" s="101">
      <c r="A397" s="1" t="n"/>
      <c r="D397" s="2" t="n"/>
      <c r="E397" s="2" t="n"/>
      <c r="F397" s="1" t="n"/>
      <c r="G397" s="1" t="n"/>
      <c r="H397" s="3" t="n"/>
      <c r="I397" s="3" t="n"/>
    </row>
    <row r="398" ht="14.25" customHeight="1" s="101">
      <c r="A398" s="1" t="n"/>
      <c r="D398" s="2" t="n"/>
      <c r="E398" s="2" t="n"/>
      <c r="F398" s="1" t="n"/>
      <c r="G398" s="1" t="n"/>
      <c r="H398" s="3" t="n"/>
      <c r="I398" s="3" t="n"/>
    </row>
    <row r="399" ht="14.25" customHeight="1" s="101">
      <c r="A399" s="1" t="n"/>
      <c r="D399" s="2" t="n"/>
      <c r="E399" s="2" t="n"/>
      <c r="F399" s="1" t="n"/>
      <c r="G399" s="1" t="n"/>
      <c r="H399" s="3" t="n"/>
      <c r="I399" s="3" t="n"/>
    </row>
    <row r="400" ht="14.25" customHeight="1" s="101">
      <c r="A400" s="1" t="n"/>
      <c r="D400" s="2" t="n"/>
      <c r="E400" s="2" t="n"/>
      <c r="F400" s="1" t="n"/>
      <c r="G400" s="1" t="n"/>
      <c r="H400" s="3" t="n"/>
      <c r="I400" s="3" t="n"/>
    </row>
    <row r="401" ht="14.25" customHeight="1" s="101">
      <c r="A401" s="1" t="n"/>
      <c r="D401" s="2" t="n"/>
      <c r="E401" s="2" t="n"/>
      <c r="F401" s="1" t="n"/>
      <c r="G401" s="1" t="n"/>
      <c r="H401" s="3" t="n"/>
      <c r="I401" s="3" t="n"/>
    </row>
    <row r="402" ht="14.25" customHeight="1" s="101">
      <c r="A402" s="1" t="n"/>
      <c r="D402" s="2" t="n"/>
      <c r="E402" s="2" t="n"/>
      <c r="F402" s="1" t="n"/>
      <c r="G402" s="1" t="n"/>
      <c r="H402" s="3" t="n"/>
      <c r="I402" s="3" t="n"/>
    </row>
    <row r="403" ht="14.25" customHeight="1" s="101">
      <c r="A403" s="1" t="n"/>
      <c r="D403" s="2" t="n"/>
      <c r="E403" s="2" t="n"/>
      <c r="F403" s="1" t="n"/>
      <c r="G403" s="1" t="n"/>
      <c r="H403" s="3" t="n"/>
      <c r="I403" s="3" t="n"/>
    </row>
    <row r="404" ht="14.25" customHeight="1" s="101">
      <c r="A404" s="1" t="n"/>
      <c r="D404" s="2" t="n"/>
      <c r="E404" s="2" t="n"/>
      <c r="F404" s="1" t="n"/>
      <c r="G404" s="1" t="n"/>
      <c r="H404" s="3" t="n"/>
      <c r="I404" s="3" t="n"/>
    </row>
    <row r="405" ht="14.25" customHeight="1" s="101">
      <c r="A405" s="1" t="n"/>
      <c r="D405" s="2" t="n"/>
      <c r="E405" s="2" t="n"/>
      <c r="F405" s="1" t="n"/>
      <c r="G405" s="1" t="n"/>
      <c r="H405" s="3" t="n"/>
      <c r="I405" s="3" t="n"/>
    </row>
    <row r="406" ht="14.25" customHeight="1" s="101">
      <c r="A406" s="1" t="n"/>
      <c r="D406" s="2" t="n"/>
      <c r="E406" s="2" t="n"/>
      <c r="F406" s="1" t="n"/>
      <c r="G406" s="1" t="n"/>
      <c r="H406" s="3" t="n"/>
      <c r="I406" s="3" t="n"/>
    </row>
    <row r="407" ht="14.25" customHeight="1" s="101">
      <c r="A407" s="1" t="n"/>
      <c r="D407" s="2" t="n"/>
      <c r="E407" s="2" t="n"/>
      <c r="F407" s="1" t="n"/>
      <c r="G407" s="1" t="n"/>
      <c r="H407" s="3" t="n"/>
      <c r="I407" s="3" t="n"/>
    </row>
    <row r="408" ht="14.25" customHeight="1" s="101">
      <c r="A408" s="1" t="n"/>
      <c r="D408" s="2" t="n"/>
      <c r="E408" s="2" t="n"/>
      <c r="F408" s="1" t="n"/>
      <c r="G408" s="1" t="n"/>
      <c r="H408" s="3" t="n"/>
      <c r="I408" s="3" t="n"/>
    </row>
    <row r="409" ht="14.25" customHeight="1" s="101">
      <c r="A409" s="1" t="n"/>
      <c r="D409" s="2" t="n"/>
      <c r="E409" s="2" t="n"/>
      <c r="F409" s="1" t="n"/>
      <c r="G409" s="1" t="n"/>
      <c r="H409" s="3" t="n"/>
      <c r="I409" s="3" t="n"/>
    </row>
    <row r="410" ht="14.25" customHeight="1" s="101">
      <c r="A410" s="1" t="n"/>
      <c r="D410" s="2" t="n"/>
      <c r="E410" s="2" t="n"/>
      <c r="F410" s="1" t="n"/>
      <c r="G410" s="1" t="n"/>
      <c r="H410" s="3" t="n"/>
      <c r="I410" s="3" t="n"/>
    </row>
    <row r="411" ht="14.25" customHeight="1" s="101">
      <c r="A411" s="1" t="n"/>
      <c r="D411" s="2" t="n"/>
      <c r="E411" s="2" t="n"/>
      <c r="F411" s="1" t="n"/>
      <c r="G411" s="1" t="n"/>
      <c r="H411" s="3" t="n"/>
      <c r="I411" s="3" t="n"/>
    </row>
    <row r="412" ht="14.25" customHeight="1" s="101">
      <c r="A412" s="1" t="n"/>
      <c r="D412" s="2" t="n"/>
      <c r="E412" s="2" t="n"/>
      <c r="F412" s="1" t="n"/>
      <c r="G412" s="1" t="n"/>
      <c r="H412" s="3" t="n"/>
      <c r="I412" s="3" t="n"/>
    </row>
    <row r="413" ht="14.25" customHeight="1" s="101">
      <c r="A413" s="1" t="n"/>
      <c r="D413" s="2" t="n"/>
      <c r="E413" s="2" t="n"/>
      <c r="F413" s="1" t="n"/>
      <c r="G413" s="1" t="n"/>
      <c r="H413" s="3" t="n"/>
      <c r="I413" s="3" t="n"/>
    </row>
    <row r="414" ht="14.25" customHeight="1" s="101">
      <c r="A414" s="1" t="n"/>
      <c r="D414" s="2" t="n"/>
      <c r="E414" s="2" t="n"/>
      <c r="F414" s="1" t="n"/>
      <c r="G414" s="1" t="n"/>
      <c r="H414" s="3" t="n"/>
      <c r="I414" s="3" t="n"/>
    </row>
    <row r="415" ht="14.25" customHeight="1" s="101">
      <c r="A415" s="1" t="n"/>
      <c r="D415" s="2" t="n"/>
      <c r="E415" s="2" t="n"/>
      <c r="F415" s="1" t="n"/>
      <c r="G415" s="1" t="n"/>
      <c r="H415" s="3" t="n"/>
      <c r="I415" s="3" t="n"/>
    </row>
    <row r="416" ht="14.25" customHeight="1" s="101">
      <c r="A416" s="1" t="n"/>
      <c r="D416" s="2" t="n"/>
      <c r="E416" s="2" t="n"/>
      <c r="F416" s="1" t="n"/>
      <c r="G416" s="1" t="n"/>
      <c r="H416" s="3" t="n"/>
      <c r="I416" s="3" t="n"/>
    </row>
    <row r="417" ht="14.25" customHeight="1" s="101">
      <c r="A417" s="1" t="n"/>
      <c r="D417" s="2" t="n"/>
      <c r="E417" s="2" t="n"/>
      <c r="F417" s="1" t="n"/>
      <c r="G417" s="1" t="n"/>
      <c r="H417" s="3" t="n"/>
      <c r="I417" s="3" t="n"/>
    </row>
    <row r="418" ht="14.25" customHeight="1" s="101">
      <c r="A418" s="1" t="n"/>
      <c r="D418" s="2" t="n"/>
      <c r="E418" s="2" t="n"/>
      <c r="F418" s="1" t="n"/>
      <c r="G418" s="1" t="n"/>
      <c r="H418" s="3" t="n"/>
      <c r="I418" s="3" t="n"/>
    </row>
    <row r="419" ht="14.25" customHeight="1" s="101">
      <c r="A419" s="1" t="n"/>
      <c r="D419" s="2" t="n"/>
      <c r="E419" s="2" t="n"/>
      <c r="F419" s="1" t="n"/>
      <c r="G419" s="1" t="n"/>
      <c r="H419" s="3" t="n"/>
      <c r="I419" s="3" t="n"/>
    </row>
    <row r="420" ht="14.25" customHeight="1" s="101">
      <c r="A420" s="1" t="n"/>
      <c r="D420" s="2" t="n"/>
      <c r="E420" s="2" t="n"/>
      <c r="F420" s="1" t="n"/>
      <c r="G420" s="1" t="n"/>
      <c r="H420" s="3" t="n"/>
      <c r="I420" s="3" t="n"/>
    </row>
    <row r="421" ht="14.25" customHeight="1" s="101">
      <c r="A421" s="1" t="n"/>
      <c r="D421" s="2" t="n"/>
      <c r="E421" s="2" t="n"/>
      <c r="F421" s="1" t="n"/>
      <c r="G421" s="1" t="n"/>
      <c r="H421" s="3" t="n"/>
      <c r="I421" s="3" t="n"/>
    </row>
    <row r="422" ht="14.25" customHeight="1" s="101">
      <c r="A422" s="1" t="n"/>
      <c r="D422" s="2" t="n"/>
      <c r="E422" s="2" t="n"/>
      <c r="F422" s="1" t="n"/>
      <c r="G422" s="1" t="n"/>
      <c r="H422" s="3" t="n"/>
      <c r="I422" s="3" t="n"/>
    </row>
    <row r="423" ht="14.25" customHeight="1" s="101">
      <c r="A423" s="1" t="n"/>
      <c r="D423" s="2" t="n"/>
      <c r="E423" s="2" t="n"/>
      <c r="F423" s="1" t="n"/>
      <c r="G423" s="1" t="n"/>
      <c r="H423" s="3" t="n"/>
      <c r="I423" s="3" t="n"/>
    </row>
    <row r="424" ht="14.25" customHeight="1" s="101">
      <c r="A424" s="1" t="n"/>
      <c r="D424" s="2" t="n"/>
      <c r="E424" s="2" t="n"/>
      <c r="F424" s="1" t="n"/>
      <c r="G424" s="1" t="n"/>
      <c r="H424" s="3" t="n"/>
      <c r="I424" s="3" t="n"/>
    </row>
    <row r="425" ht="14.25" customHeight="1" s="101">
      <c r="A425" s="1" t="n"/>
      <c r="D425" s="2" t="n"/>
      <c r="E425" s="2" t="n"/>
      <c r="F425" s="1" t="n"/>
      <c r="G425" s="1" t="n"/>
      <c r="H425" s="3" t="n"/>
      <c r="I425" s="3" t="n"/>
    </row>
    <row r="426" ht="14.25" customHeight="1" s="101">
      <c r="A426" s="1" t="n"/>
      <c r="D426" s="2" t="n"/>
      <c r="E426" s="2" t="n"/>
      <c r="F426" s="1" t="n"/>
      <c r="G426" s="1" t="n"/>
      <c r="H426" s="3" t="n"/>
      <c r="I426" s="3" t="n"/>
    </row>
    <row r="427" ht="14.25" customHeight="1" s="101">
      <c r="A427" s="1" t="n"/>
      <c r="D427" s="2" t="n"/>
      <c r="E427" s="2" t="n"/>
      <c r="F427" s="1" t="n"/>
      <c r="G427" s="1" t="n"/>
      <c r="H427" s="3" t="n"/>
      <c r="I427" s="3" t="n"/>
    </row>
    <row r="428" ht="14.25" customHeight="1" s="101">
      <c r="A428" s="1" t="n"/>
      <c r="D428" s="2" t="n"/>
      <c r="E428" s="2" t="n"/>
      <c r="F428" s="1" t="n"/>
      <c r="G428" s="1" t="n"/>
      <c r="H428" s="3" t="n"/>
      <c r="I428" s="3" t="n"/>
    </row>
    <row r="429" ht="14.25" customHeight="1" s="101">
      <c r="A429" s="1" t="n"/>
      <c r="D429" s="2" t="n"/>
      <c r="E429" s="2" t="n"/>
      <c r="F429" s="1" t="n"/>
      <c r="G429" s="1" t="n"/>
      <c r="H429" s="3" t="n"/>
      <c r="I429" s="3" t="n"/>
    </row>
    <row r="430" ht="14.25" customHeight="1" s="101">
      <c r="A430" s="1" t="n"/>
      <c r="D430" s="2" t="n"/>
      <c r="E430" s="2" t="n"/>
      <c r="F430" s="1" t="n"/>
      <c r="G430" s="1" t="n"/>
      <c r="H430" s="3" t="n"/>
      <c r="I430" s="3" t="n"/>
    </row>
    <row r="431" ht="14.25" customHeight="1" s="101">
      <c r="A431" s="1" t="n"/>
      <c r="D431" s="2" t="n"/>
      <c r="E431" s="2" t="n"/>
      <c r="F431" s="1" t="n"/>
      <c r="G431" s="1" t="n"/>
      <c r="H431" s="3" t="n"/>
      <c r="I431" s="3" t="n"/>
    </row>
    <row r="432" ht="14.25" customHeight="1" s="101">
      <c r="A432" s="1" t="n"/>
      <c r="D432" s="2" t="n"/>
      <c r="E432" s="2" t="n"/>
      <c r="F432" s="1" t="n"/>
      <c r="G432" s="1" t="n"/>
      <c r="H432" s="3" t="n"/>
      <c r="I432" s="3" t="n"/>
    </row>
    <row r="433" ht="14.25" customHeight="1" s="101">
      <c r="A433" s="1" t="n"/>
      <c r="D433" s="2" t="n"/>
      <c r="E433" s="2" t="n"/>
      <c r="F433" s="1" t="n"/>
      <c r="G433" s="1" t="n"/>
      <c r="H433" s="3" t="n"/>
      <c r="I433" s="3" t="n"/>
    </row>
    <row r="434" ht="14.25" customHeight="1" s="101">
      <c r="A434" s="1" t="n"/>
      <c r="D434" s="2" t="n"/>
      <c r="E434" s="2" t="n"/>
      <c r="F434" s="1" t="n"/>
      <c r="G434" s="1" t="n"/>
      <c r="H434" s="3" t="n"/>
      <c r="I434" s="3" t="n"/>
    </row>
    <row r="435" ht="14.25" customHeight="1" s="101">
      <c r="A435" s="1" t="n"/>
      <c r="D435" s="2" t="n"/>
      <c r="E435" s="2" t="n"/>
      <c r="F435" s="1" t="n"/>
      <c r="G435" s="1" t="n"/>
      <c r="H435" s="3" t="n"/>
      <c r="I435" s="3" t="n"/>
    </row>
    <row r="436" ht="14.25" customHeight="1" s="101">
      <c r="A436" s="1" t="n"/>
      <c r="D436" s="2" t="n"/>
      <c r="E436" s="2" t="n"/>
      <c r="F436" s="1" t="n"/>
      <c r="G436" s="1" t="n"/>
      <c r="H436" s="3" t="n"/>
      <c r="I436" s="3" t="n"/>
    </row>
    <row r="437" ht="14.25" customHeight="1" s="101">
      <c r="A437" s="1" t="n"/>
      <c r="D437" s="2" t="n"/>
      <c r="E437" s="2" t="n"/>
      <c r="F437" s="1" t="n"/>
      <c r="G437" s="1" t="n"/>
      <c r="H437" s="3" t="n"/>
      <c r="I437" s="3" t="n"/>
    </row>
    <row r="438" ht="14.25" customHeight="1" s="101">
      <c r="A438" s="1" t="n"/>
      <c r="D438" s="2" t="n"/>
      <c r="E438" s="2" t="n"/>
      <c r="F438" s="1" t="n"/>
      <c r="G438" s="1" t="n"/>
      <c r="H438" s="3" t="n"/>
      <c r="I438" s="3" t="n"/>
    </row>
    <row r="439" ht="14.25" customHeight="1" s="101">
      <c r="A439" s="1" t="n"/>
      <c r="D439" s="2" t="n"/>
      <c r="E439" s="2" t="n"/>
      <c r="F439" s="1" t="n"/>
      <c r="G439" s="1" t="n"/>
      <c r="H439" s="3" t="n"/>
      <c r="I439" s="3" t="n"/>
    </row>
    <row r="440" ht="14.25" customHeight="1" s="101">
      <c r="A440" s="1" t="n"/>
      <c r="D440" s="2" t="n"/>
      <c r="E440" s="2" t="n"/>
      <c r="F440" s="1" t="n"/>
      <c r="G440" s="1" t="n"/>
      <c r="H440" s="3" t="n"/>
      <c r="I440" s="3" t="n"/>
    </row>
    <row r="441" ht="14.25" customHeight="1" s="101">
      <c r="A441" s="1" t="n"/>
      <c r="D441" s="2" t="n"/>
      <c r="E441" s="2" t="n"/>
      <c r="F441" s="1" t="n"/>
      <c r="G441" s="1" t="n"/>
      <c r="H441" s="3" t="n"/>
      <c r="I441" s="3" t="n"/>
    </row>
    <row r="442" ht="14.25" customHeight="1" s="101">
      <c r="A442" s="1" t="n"/>
      <c r="D442" s="2" t="n"/>
      <c r="E442" s="2" t="n"/>
      <c r="F442" s="1" t="n"/>
      <c r="G442" s="1" t="n"/>
      <c r="H442" s="3" t="n"/>
      <c r="I442" s="3" t="n"/>
    </row>
    <row r="443" ht="14.25" customHeight="1" s="101">
      <c r="A443" s="1" t="n"/>
      <c r="D443" s="2" t="n"/>
      <c r="E443" s="2" t="n"/>
      <c r="F443" s="1" t="n"/>
      <c r="G443" s="1" t="n"/>
      <c r="H443" s="3" t="n"/>
      <c r="I443" s="3" t="n"/>
    </row>
    <row r="444" ht="14.25" customHeight="1" s="101">
      <c r="A444" s="1" t="n"/>
      <c r="D444" s="2" t="n"/>
      <c r="E444" s="2" t="n"/>
      <c r="F444" s="1" t="n"/>
      <c r="G444" s="1" t="n"/>
      <c r="H444" s="3" t="n"/>
      <c r="I444" s="3" t="n"/>
    </row>
    <row r="445" ht="14.25" customHeight="1" s="101">
      <c r="A445" s="1" t="n"/>
      <c r="D445" s="2" t="n"/>
      <c r="E445" s="2" t="n"/>
      <c r="F445" s="1" t="n"/>
      <c r="G445" s="1" t="n"/>
      <c r="H445" s="3" t="n"/>
      <c r="I445" s="3" t="n"/>
    </row>
    <row r="446" ht="14.25" customHeight="1" s="101">
      <c r="A446" s="1" t="n"/>
      <c r="D446" s="2" t="n"/>
      <c r="E446" s="2" t="n"/>
      <c r="F446" s="1" t="n"/>
      <c r="G446" s="1" t="n"/>
      <c r="H446" s="3" t="n"/>
      <c r="I446" s="3" t="n"/>
    </row>
    <row r="447" ht="14.25" customHeight="1" s="101">
      <c r="A447" s="1" t="n"/>
      <c r="D447" s="2" t="n"/>
      <c r="E447" s="2" t="n"/>
      <c r="F447" s="1" t="n"/>
      <c r="G447" s="1" t="n"/>
      <c r="H447" s="3" t="n"/>
      <c r="I447" s="3" t="n"/>
    </row>
    <row r="448" ht="14.25" customHeight="1" s="101">
      <c r="A448" s="1" t="n"/>
      <c r="D448" s="2" t="n"/>
      <c r="E448" s="2" t="n"/>
      <c r="F448" s="1" t="n"/>
      <c r="G448" s="1" t="n"/>
      <c r="H448" s="3" t="n"/>
      <c r="I448" s="3" t="n"/>
    </row>
    <row r="449" ht="14.25" customHeight="1" s="101">
      <c r="A449" s="1" t="n"/>
      <c r="D449" s="2" t="n"/>
      <c r="E449" s="2" t="n"/>
      <c r="F449" s="1" t="n"/>
      <c r="G449" s="1" t="n"/>
      <c r="H449" s="3" t="n"/>
      <c r="I449" s="3" t="n"/>
    </row>
    <row r="450" ht="14.25" customHeight="1" s="101">
      <c r="A450" s="1" t="n"/>
      <c r="D450" s="2" t="n"/>
      <c r="E450" s="2" t="n"/>
      <c r="F450" s="1" t="n"/>
      <c r="G450" s="1" t="n"/>
      <c r="H450" s="3" t="n"/>
      <c r="I450" s="3" t="n"/>
    </row>
    <row r="451" ht="14.25" customHeight="1" s="101">
      <c r="A451" s="1" t="n"/>
      <c r="D451" s="2" t="n"/>
      <c r="E451" s="2" t="n"/>
      <c r="F451" s="1" t="n"/>
      <c r="G451" s="1" t="n"/>
      <c r="H451" s="3" t="n"/>
      <c r="I451" s="3" t="n"/>
    </row>
    <row r="452" ht="14.25" customHeight="1" s="101">
      <c r="A452" s="1" t="n"/>
      <c r="D452" s="2" t="n"/>
      <c r="E452" s="2" t="n"/>
      <c r="F452" s="1" t="n"/>
      <c r="G452" s="1" t="n"/>
      <c r="H452" s="3" t="n"/>
      <c r="I452" s="3" t="n"/>
    </row>
    <row r="453" ht="14.25" customHeight="1" s="101">
      <c r="A453" s="1" t="n"/>
      <c r="D453" s="2" t="n"/>
      <c r="E453" s="2" t="n"/>
      <c r="F453" s="1" t="n"/>
      <c r="G453" s="1" t="n"/>
      <c r="H453" s="3" t="n"/>
      <c r="I453" s="3" t="n"/>
    </row>
    <row r="454" ht="14.25" customHeight="1" s="101">
      <c r="A454" s="1" t="n"/>
      <c r="D454" s="2" t="n"/>
      <c r="E454" s="2" t="n"/>
      <c r="F454" s="1" t="n"/>
      <c r="G454" s="1" t="n"/>
      <c r="H454" s="3" t="n"/>
      <c r="I454" s="3" t="n"/>
    </row>
    <row r="455" ht="14.25" customHeight="1" s="101">
      <c r="A455" s="1" t="n"/>
      <c r="D455" s="2" t="n"/>
      <c r="E455" s="2" t="n"/>
      <c r="F455" s="1" t="n"/>
      <c r="G455" s="1" t="n"/>
      <c r="H455" s="3" t="n"/>
      <c r="I455" s="3" t="n"/>
    </row>
    <row r="456" ht="14.25" customHeight="1" s="101">
      <c r="A456" s="1" t="n"/>
      <c r="D456" s="2" t="n"/>
      <c r="E456" s="2" t="n"/>
      <c r="F456" s="1" t="n"/>
      <c r="G456" s="1" t="n"/>
      <c r="H456" s="3" t="n"/>
      <c r="I456" s="3" t="n"/>
    </row>
    <row r="457" ht="14.25" customHeight="1" s="101">
      <c r="A457" s="1" t="n"/>
      <c r="D457" s="2" t="n"/>
      <c r="E457" s="2" t="n"/>
      <c r="F457" s="1" t="n"/>
      <c r="G457" s="1" t="n"/>
      <c r="H457" s="3" t="n"/>
      <c r="I457" s="3" t="n"/>
    </row>
    <row r="458" ht="14.25" customHeight="1" s="101">
      <c r="A458" s="1" t="n"/>
      <c r="D458" s="2" t="n"/>
      <c r="E458" s="2" t="n"/>
      <c r="F458" s="1" t="n"/>
      <c r="G458" s="1" t="n"/>
      <c r="H458" s="3" t="n"/>
      <c r="I458" s="3" t="n"/>
    </row>
    <row r="459" ht="14.25" customHeight="1" s="101">
      <c r="A459" s="1" t="n"/>
      <c r="D459" s="2" t="n"/>
      <c r="E459" s="2" t="n"/>
      <c r="F459" s="1" t="n"/>
      <c r="G459" s="1" t="n"/>
      <c r="H459" s="3" t="n"/>
      <c r="I459" s="3" t="n"/>
    </row>
    <row r="460" ht="14.25" customHeight="1" s="101">
      <c r="A460" s="1" t="n"/>
      <c r="D460" s="2" t="n"/>
      <c r="E460" s="2" t="n"/>
      <c r="F460" s="1" t="n"/>
      <c r="G460" s="1" t="n"/>
      <c r="H460" s="3" t="n"/>
      <c r="I460" s="3" t="n"/>
    </row>
    <row r="461" ht="14.25" customHeight="1" s="101">
      <c r="A461" s="1" t="n"/>
      <c r="D461" s="2" t="n"/>
      <c r="E461" s="2" t="n"/>
      <c r="F461" s="1" t="n"/>
      <c r="G461" s="1" t="n"/>
      <c r="H461" s="3" t="n"/>
      <c r="I461" s="3" t="n"/>
    </row>
    <row r="462" ht="14.25" customHeight="1" s="101">
      <c r="A462" s="1" t="n"/>
      <c r="D462" s="2" t="n"/>
      <c r="E462" s="2" t="n"/>
      <c r="F462" s="1" t="n"/>
      <c r="G462" s="1" t="n"/>
      <c r="H462" s="3" t="n"/>
      <c r="I462" s="3" t="n"/>
    </row>
    <row r="463" ht="14.25" customHeight="1" s="101">
      <c r="A463" s="1" t="n"/>
      <c r="D463" s="2" t="n"/>
      <c r="E463" s="2" t="n"/>
      <c r="F463" s="1" t="n"/>
      <c r="G463" s="1" t="n"/>
      <c r="H463" s="3" t="n"/>
      <c r="I463" s="3" t="n"/>
    </row>
    <row r="464" ht="14.25" customHeight="1" s="101">
      <c r="A464" s="1" t="n"/>
      <c r="D464" s="2" t="n"/>
      <c r="E464" s="2" t="n"/>
      <c r="F464" s="1" t="n"/>
      <c r="G464" s="1" t="n"/>
      <c r="H464" s="3" t="n"/>
      <c r="I464" s="3" t="n"/>
    </row>
    <row r="465" ht="14.25" customHeight="1" s="101">
      <c r="A465" s="1" t="n"/>
      <c r="D465" s="2" t="n"/>
      <c r="E465" s="2" t="n"/>
      <c r="F465" s="1" t="n"/>
      <c r="G465" s="1" t="n"/>
      <c r="H465" s="3" t="n"/>
      <c r="I465" s="3" t="n"/>
    </row>
    <row r="466" ht="14.25" customHeight="1" s="101">
      <c r="A466" s="1" t="n"/>
      <c r="D466" s="2" t="n"/>
      <c r="E466" s="2" t="n"/>
      <c r="F466" s="1" t="n"/>
      <c r="G466" s="1" t="n"/>
      <c r="H466" s="3" t="n"/>
      <c r="I466" s="3" t="n"/>
    </row>
    <row r="467" ht="14.25" customHeight="1" s="101">
      <c r="A467" s="1" t="n"/>
      <c r="D467" s="2" t="n"/>
      <c r="E467" s="2" t="n"/>
      <c r="F467" s="1" t="n"/>
      <c r="G467" s="1" t="n"/>
      <c r="H467" s="3" t="n"/>
      <c r="I467" s="3" t="n"/>
    </row>
    <row r="468" ht="14.25" customHeight="1" s="101">
      <c r="A468" s="1" t="n"/>
      <c r="D468" s="2" t="n"/>
      <c r="E468" s="2" t="n"/>
      <c r="F468" s="1" t="n"/>
      <c r="G468" s="1" t="n"/>
      <c r="H468" s="3" t="n"/>
      <c r="I468" s="3" t="n"/>
    </row>
    <row r="469" ht="14.25" customHeight="1" s="101">
      <c r="A469" s="1" t="n"/>
      <c r="D469" s="2" t="n"/>
      <c r="E469" s="2" t="n"/>
      <c r="F469" s="1" t="n"/>
      <c r="G469" s="1" t="n"/>
      <c r="H469" s="3" t="n"/>
      <c r="I469" s="3" t="n"/>
    </row>
    <row r="470" ht="14.25" customHeight="1" s="101">
      <c r="A470" s="1" t="n"/>
      <c r="D470" s="2" t="n"/>
      <c r="E470" s="2" t="n"/>
      <c r="F470" s="1" t="n"/>
      <c r="G470" s="1" t="n"/>
      <c r="H470" s="3" t="n"/>
      <c r="I470" s="3" t="n"/>
    </row>
    <row r="471" ht="14.25" customHeight="1" s="101">
      <c r="A471" s="1" t="n"/>
      <c r="D471" s="2" t="n"/>
      <c r="E471" s="2" t="n"/>
      <c r="F471" s="1" t="n"/>
      <c r="G471" s="1" t="n"/>
      <c r="H471" s="3" t="n"/>
      <c r="I471" s="3" t="n"/>
    </row>
    <row r="472" ht="14.25" customHeight="1" s="101">
      <c r="A472" s="1" t="n"/>
      <c r="D472" s="2" t="n"/>
      <c r="E472" s="2" t="n"/>
      <c r="F472" s="1" t="n"/>
      <c r="G472" s="1" t="n"/>
      <c r="H472" s="3" t="n"/>
      <c r="I472" s="3" t="n"/>
    </row>
    <row r="473" ht="14.25" customHeight="1" s="101">
      <c r="A473" s="1" t="n"/>
      <c r="D473" s="2" t="n"/>
      <c r="E473" s="2" t="n"/>
      <c r="F473" s="1" t="n"/>
      <c r="G473" s="1" t="n"/>
      <c r="H473" s="3" t="n"/>
      <c r="I473" s="3" t="n"/>
    </row>
    <row r="474" ht="14.25" customHeight="1" s="101">
      <c r="A474" s="1" t="n"/>
      <c r="D474" s="2" t="n"/>
      <c r="E474" s="2" t="n"/>
      <c r="F474" s="1" t="n"/>
      <c r="G474" s="1" t="n"/>
      <c r="H474" s="3" t="n"/>
      <c r="I474" s="3" t="n"/>
    </row>
    <row r="475" ht="14.25" customHeight="1" s="101">
      <c r="A475" s="1" t="n"/>
      <c r="D475" s="2" t="n"/>
      <c r="E475" s="2" t="n"/>
      <c r="F475" s="1" t="n"/>
      <c r="G475" s="1" t="n"/>
      <c r="H475" s="3" t="n"/>
      <c r="I475" s="3" t="n"/>
    </row>
    <row r="476" ht="14.25" customHeight="1" s="101">
      <c r="A476" s="1" t="n"/>
      <c r="D476" s="2" t="n"/>
      <c r="E476" s="2" t="n"/>
      <c r="F476" s="1" t="n"/>
      <c r="G476" s="1" t="n"/>
      <c r="H476" s="3" t="n"/>
      <c r="I476" s="3" t="n"/>
    </row>
    <row r="477" ht="14.25" customHeight="1" s="101">
      <c r="A477" s="1" t="n"/>
      <c r="D477" s="2" t="n"/>
      <c r="E477" s="2" t="n"/>
      <c r="F477" s="1" t="n"/>
      <c r="G477" s="1" t="n"/>
      <c r="H477" s="3" t="n"/>
      <c r="I477" s="3" t="n"/>
    </row>
    <row r="478" ht="14.25" customHeight="1" s="101">
      <c r="A478" s="1" t="n"/>
      <c r="D478" s="2" t="n"/>
      <c r="E478" s="2" t="n"/>
      <c r="F478" s="1" t="n"/>
      <c r="G478" s="1" t="n"/>
      <c r="H478" s="3" t="n"/>
      <c r="I478" s="3" t="n"/>
    </row>
    <row r="479" ht="14.25" customHeight="1" s="101">
      <c r="A479" s="1" t="n"/>
      <c r="D479" s="2" t="n"/>
      <c r="E479" s="2" t="n"/>
      <c r="F479" s="1" t="n"/>
      <c r="G479" s="1" t="n"/>
      <c r="H479" s="3" t="n"/>
      <c r="I479" s="3" t="n"/>
    </row>
    <row r="480" ht="14.25" customHeight="1" s="101">
      <c r="A480" s="1" t="n"/>
      <c r="D480" s="2" t="n"/>
      <c r="E480" s="2" t="n"/>
      <c r="F480" s="1" t="n"/>
      <c r="G480" s="1" t="n"/>
      <c r="H480" s="3" t="n"/>
      <c r="I480" s="3" t="n"/>
    </row>
    <row r="481" ht="14.25" customHeight="1" s="101">
      <c r="A481" s="1" t="n"/>
      <c r="D481" s="2" t="n"/>
      <c r="E481" s="2" t="n"/>
      <c r="F481" s="1" t="n"/>
      <c r="G481" s="1" t="n"/>
      <c r="H481" s="3" t="n"/>
      <c r="I481" s="3" t="n"/>
    </row>
    <row r="482" ht="14.25" customHeight="1" s="101">
      <c r="A482" s="1" t="n"/>
      <c r="D482" s="2" t="n"/>
      <c r="E482" s="2" t="n"/>
      <c r="F482" s="1" t="n"/>
      <c r="G482" s="1" t="n"/>
      <c r="H482" s="3" t="n"/>
      <c r="I482" s="3" t="n"/>
    </row>
    <row r="483" ht="14.25" customHeight="1" s="101">
      <c r="A483" s="1" t="n"/>
      <c r="D483" s="2" t="n"/>
      <c r="E483" s="2" t="n"/>
      <c r="F483" s="1" t="n"/>
      <c r="G483" s="1" t="n"/>
      <c r="H483" s="3" t="n"/>
      <c r="I483" s="3" t="n"/>
    </row>
    <row r="484" ht="14.25" customHeight="1" s="101">
      <c r="A484" s="1" t="n"/>
      <c r="D484" s="2" t="n"/>
      <c r="E484" s="2" t="n"/>
      <c r="F484" s="1" t="n"/>
      <c r="G484" s="1" t="n"/>
      <c r="H484" s="3" t="n"/>
      <c r="I484" s="3" t="n"/>
    </row>
    <row r="485" ht="14.25" customHeight="1" s="101">
      <c r="A485" s="1" t="n"/>
      <c r="D485" s="2" t="n"/>
      <c r="E485" s="2" t="n"/>
      <c r="F485" s="1" t="n"/>
      <c r="G485" s="1" t="n"/>
      <c r="H485" s="3" t="n"/>
      <c r="I485" s="3" t="n"/>
    </row>
    <row r="486" ht="14.25" customHeight="1" s="101">
      <c r="A486" s="1" t="n"/>
      <c r="D486" s="2" t="n"/>
      <c r="E486" s="2" t="n"/>
      <c r="F486" s="1" t="n"/>
      <c r="G486" s="1" t="n"/>
      <c r="H486" s="3" t="n"/>
      <c r="I486" s="3" t="n"/>
    </row>
    <row r="487" ht="14.25" customHeight="1" s="101">
      <c r="A487" s="1" t="n"/>
      <c r="D487" s="2" t="n"/>
      <c r="E487" s="2" t="n"/>
      <c r="F487" s="1" t="n"/>
      <c r="G487" s="1" t="n"/>
      <c r="H487" s="3" t="n"/>
      <c r="I487" s="3" t="n"/>
    </row>
    <row r="488" ht="14.25" customHeight="1" s="101">
      <c r="A488" s="1" t="n"/>
      <c r="D488" s="2" t="n"/>
      <c r="E488" s="2" t="n"/>
      <c r="F488" s="1" t="n"/>
      <c r="G488" s="1" t="n"/>
      <c r="H488" s="3" t="n"/>
      <c r="I488" s="3" t="n"/>
    </row>
    <row r="489" ht="14.25" customHeight="1" s="101">
      <c r="A489" s="1" t="n"/>
      <c r="D489" s="2" t="n"/>
      <c r="E489" s="2" t="n"/>
      <c r="F489" s="1" t="n"/>
      <c r="G489" s="1" t="n"/>
      <c r="H489" s="3" t="n"/>
      <c r="I489" s="3" t="n"/>
    </row>
    <row r="490" ht="14.25" customHeight="1" s="101">
      <c r="A490" s="1" t="n"/>
      <c r="D490" s="2" t="n"/>
      <c r="E490" s="2" t="n"/>
      <c r="F490" s="1" t="n"/>
      <c r="G490" s="1" t="n"/>
      <c r="H490" s="3" t="n"/>
      <c r="I490" s="3" t="n"/>
    </row>
    <row r="491" ht="14.25" customHeight="1" s="101">
      <c r="A491" s="1" t="n"/>
      <c r="D491" s="2" t="n"/>
      <c r="E491" s="2" t="n"/>
      <c r="F491" s="1" t="n"/>
      <c r="G491" s="1" t="n"/>
      <c r="H491" s="3" t="n"/>
      <c r="I491" s="3" t="n"/>
    </row>
    <row r="492" ht="14.25" customHeight="1" s="101">
      <c r="A492" s="1" t="n"/>
      <c r="D492" s="2" t="n"/>
      <c r="E492" s="2" t="n"/>
      <c r="F492" s="1" t="n"/>
      <c r="G492" s="1" t="n"/>
      <c r="H492" s="3" t="n"/>
      <c r="I492" s="3" t="n"/>
    </row>
    <row r="493" ht="14.25" customHeight="1" s="101">
      <c r="A493" s="1" t="n"/>
      <c r="D493" s="2" t="n"/>
      <c r="E493" s="2" t="n"/>
      <c r="F493" s="1" t="n"/>
      <c r="G493" s="1" t="n"/>
      <c r="H493" s="3" t="n"/>
      <c r="I493" s="3" t="n"/>
    </row>
    <row r="494" ht="14.25" customHeight="1" s="101">
      <c r="A494" s="1" t="n"/>
      <c r="D494" s="2" t="n"/>
      <c r="E494" s="2" t="n"/>
      <c r="F494" s="1" t="n"/>
      <c r="G494" s="1" t="n"/>
      <c r="H494" s="3" t="n"/>
      <c r="I494" s="3" t="n"/>
    </row>
    <row r="495" ht="14.25" customHeight="1" s="101">
      <c r="A495" s="1" t="n"/>
      <c r="D495" s="2" t="n"/>
      <c r="E495" s="2" t="n"/>
      <c r="F495" s="1" t="n"/>
      <c r="G495" s="1" t="n"/>
      <c r="H495" s="3" t="n"/>
      <c r="I495" s="3" t="n"/>
    </row>
    <row r="496" ht="14.25" customHeight="1" s="101">
      <c r="A496" s="1" t="n"/>
      <c r="D496" s="2" t="n"/>
      <c r="E496" s="2" t="n"/>
      <c r="F496" s="1" t="n"/>
      <c r="G496" s="1" t="n"/>
      <c r="H496" s="3" t="n"/>
      <c r="I496" s="3" t="n"/>
    </row>
    <row r="497" ht="14.25" customHeight="1" s="101">
      <c r="A497" s="1" t="n"/>
      <c r="D497" s="2" t="n"/>
      <c r="E497" s="2" t="n"/>
      <c r="F497" s="1" t="n"/>
      <c r="G497" s="1" t="n"/>
      <c r="H497" s="3" t="n"/>
      <c r="I497" s="3" t="n"/>
    </row>
    <row r="498" ht="14.25" customHeight="1" s="101">
      <c r="A498" s="1" t="n"/>
      <c r="D498" s="2" t="n"/>
      <c r="E498" s="2" t="n"/>
      <c r="F498" s="1" t="n"/>
      <c r="G498" s="1" t="n"/>
      <c r="H498" s="3" t="n"/>
      <c r="I498" s="3" t="n"/>
    </row>
    <row r="499" ht="14.25" customHeight="1" s="101">
      <c r="A499" s="1" t="n"/>
      <c r="D499" s="2" t="n"/>
      <c r="E499" s="2" t="n"/>
      <c r="F499" s="1" t="n"/>
      <c r="G499" s="1" t="n"/>
      <c r="H499" s="3" t="n"/>
      <c r="I499" s="3" t="n"/>
    </row>
    <row r="500" ht="14.25" customHeight="1" s="101">
      <c r="A500" s="1" t="n"/>
      <c r="D500" s="2" t="n"/>
      <c r="E500" s="2" t="n"/>
      <c r="F500" s="1" t="n"/>
      <c r="G500" s="1" t="n"/>
      <c r="H500" s="3" t="n"/>
      <c r="I500" s="3" t="n"/>
    </row>
    <row r="501" ht="14.25" customHeight="1" s="101">
      <c r="A501" s="1" t="n"/>
      <c r="D501" s="2" t="n"/>
      <c r="E501" s="2" t="n"/>
      <c r="F501" s="1" t="n"/>
      <c r="G501" s="1" t="n"/>
      <c r="H501" s="3" t="n"/>
      <c r="I501" s="3" t="n"/>
    </row>
    <row r="502" ht="14.25" customHeight="1" s="101">
      <c r="A502" s="1" t="n"/>
      <c r="D502" s="2" t="n"/>
      <c r="E502" s="2" t="n"/>
      <c r="F502" s="1" t="n"/>
      <c r="G502" s="1" t="n"/>
      <c r="H502" s="3" t="n"/>
      <c r="I502" s="3" t="n"/>
    </row>
    <row r="503" ht="14.25" customHeight="1" s="101">
      <c r="A503" s="1" t="n"/>
      <c r="D503" s="2" t="n"/>
      <c r="E503" s="2" t="n"/>
      <c r="F503" s="1" t="n"/>
      <c r="G503" s="1" t="n"/>
      <c r="H503" s="3" t="n"/>
      <c r="I503" s="3" t="n"/>
    </row>
    <row r="504" ht="14.25" customHeight="1" s="101">
      <c r="A504" s="1" t="n"/>
      <c r="D504" s="2" t="n"/>
      <c r="E504" s="2" t="n"/>
      <c r="F504" s="1" t="n"/>
      <c r="G504" s="1" t="n"/>
      <c r="H504" s="3" t="n"/>
      <c r="I504" s="3" t="n"/>
    </row>
    <row r="505" ht="14.25" customHeight="1" s="101">
      <c r="A505" s="1" t="n"/>
      <c r="D505" s="2" t="n"/>
      <c r="E505" s="2" t="n"/>
      <c r="F505" s="1" t="n"/>
      <c r="G505" s="1" t="n"/>
      <c r="H505" s="3" t="n"/>
      <c r="I505" s="3" t="n"/>
    </row>
    <row r="506" ht="14.25" customHeight="1" s="101">
      <c r="A506" s="1" t="n"/>
      <c r="D506" s="2" t="n"/>
      <c r="E506" s="2" t="n"/>
      <c r="F506" s="1" t="n"/>
      <c r="G506" s="1" t="n"/>
      <c r="H506" s="3" t="n"/>
      <c r="I506" s="3" t="n"/>
    </row>
    <row r="507" ht="14.25" customHeight="1" s="101">
      <c r="A507" s="1" t="n"/>
      <c r="D507" s="2" t="n"/>
      <c r="E507" s="2" t="n"/>
      <c r="F507" s="1" t="n"/>
      <c r="G507" s="1" t="n"/>
      <c r="H507" s="3" t="n"/>
      <c r="I507" s="3" t="n"/>
    </row>
    <row r="508" ht="14.25" customHeight="1" s="101">
      <c r="A508" s="1" t="n"/>
      <c r="D508" s="2" t="n"/>
      <c r="E508" s="2" t="n"/>
      <c r="F508" s="1" t="n"/>
      <c r="G508" s="1" t="n"/>
      <c r="H508" s="3" t="n"/>
      <c r="I508" s="3" t="n"/>
    </row>
    <row r="509" ht="14.25" customHeight="1" s="101">
      <c r="A509" s="1" t="n"/>
      <c r="D509" s="2" t="n"/>
      <c r="E509" s="2" t="n"/>
      <c r="F509" s="1" t="n"/>
      <c r="G509" s="1" t="n"/>
      <c r="H509" s="3" t="n"/>
      <c r="I509" s="3" t="n"/>
    </row>
    <row r="510" ht="14.25" customHeight="1" s="101">
      <c r="A510" s="1" t="n"/>
      <c r="D510" s="2" t="n"/>
      <c r="E510" s="2" t="n"/>
      <c r="F510" s="1" t="n"/>
      <c r="G510" s="1" t="n"/>
      <c r="H510" s="3" t="n"/>
      <c r="I510" s="3" t="n"/>
    </row>
    <row r="511" ht="14.25" customHeight="1" s="101">
      <c r="A511" s="1" t="n"/>
      <c r="D511" s="2" t="n"/>
      <c r="E511" s="2" t="n"/>
      <c r="F511" s="1" t="n"/>
      <c r="G511" s="1" t="n"/>
      <c r="H511" s="3" t="n"/>
      <c r="I511" s="3" t="n"/>
    </row>
    <row r="512" ht="14.25" customHeight="1" s="101">
      <c r="A512" s="1" t="n"/>
      <c r="D512" s="2" t="n"/>
      <c r="E512" s="2" t="n"/>
      <c r="F512" s="1" t="n"/>
      <c r="G512" s="1" t="n"/>
      <c r="H512" s="3" t="n"/>
      <c r="I512" s="3" t="n"/>
    </row>
    <row r="513" ht="14.25" customHeight="1" s="101">
      <c r="A513" s="1" t="n"/>
      <c r="D513" s="2" t="n"/>
      <c r="E513" s="2" t="n"/>
      <c r="F513" s="1" t="n"/>
      <c r="G513" s="1" t="n"/>
      <c r="H513" s="3" t="n"/>
      <c r="I513" s="3" t="n"/>
    </row>
    <row r="514" ht="14.25" customHeight="1" s="101">
      <c r="A514" s="1" t="n"/>
      <c r="D514" s="2" t="n"/>
      <c r="E514" s="2" t="n"/>
      <c r="F514" s="1" t="n"/>
      <c r="G514" s="1" t="n"/>
      <c r="H514" s="3" t="n"/>
      <c r="I514" s="3" t="n"/>
    </row>
    <row r="515" ht="14.25" customHeight="1" s="101">
      <c r="A515" s="1" t="n"/>
      <c r="D515" s="2" t="n"/>
      <c r="E515" s="2" t="n"/>
      <c r="F515" s="1" t="n"/>
      <c r="G515" s="1" t="n"/>
      <c r="H515" s="3" t="n"/>
      <c r="I515" s="3" t="n"/>
    </row>
    <row r="516" ht="14.25" customHeight="1" s="101">
      <c r="A516" s="1" t="n"/>
      <c r="D516" s="2" t="n"/>
      <c r="E516" s="2" t="n"/>
      <c r="F516" s="1" t="n"/>
      <c r="G516" s="1" t="n"/>
      <c r="H516" s="3" t="n"/>
      <c r="I516" s="3" t="n"/>
    </row>
    <row r="517" ht="14.25" customHeight="1" s="101">
      <c r="A517" s="1" t="n"/>
      <c r="D517" s="2" t="n"/>
      <c r="E517" s="2" t="n"/>
      <c r="F517" s="1" t="n"/>
      <c r="G517" s="1" t="n"/>
      <c r="H517" s="3" t="n"/>
      <c r="I517" s="3" t="n"/>
    </row>
    <row r="518" ht="14.25" customHeight="1" s="101">
      <c r="A518" s="1" t="n"/>
      <c r="D518" s="2" t="n"/>
      <c r="E518" s="2" t="n"/>
      <c r="F518" s="1" t="n"/>
      <c r="G518" s="1" t="n"/>
      <c r="H518" s="3" t="n"/>
      <c r="I518" s="3" t="n"/>
    </row>
    <row r="519" ht="14.25" customHeight="1" s="101">
      <c r="A519" s="1" t="n"/>
      <c r="D519" s="2" t="n"/>
      <c r="E519" s="2" t="n"/>
      <c r="F519" s="1" t="n"/>
      <c r="G519" s="1" t="n"/>
      <c r="H519" s="3" t="n"/>
      <c r="I519" s="3" t="n"/>
    </row>
    <row r="520" ht="14.25" customHeight="1" s="101">
      <c r="A520" s="1" t="n"/>
      <c r="D520" s="2" t="n"/>
      <c r="E520" s="2" t="n"/>
      <c r="F520" s="1" t="n"/>
      <c r="G520" s="1" t="n"/>
      <c r="H520" s="3" t="n"/>
      <c r="I520" s="3" t="n"/>
    </row>
    <row r="521" ht="14.25" customHeight="1" s="101">
      <c r="A521" s="1" t="n"/>
      <c r="D521" s="2" t="n"/>
      <c r="E521" s="2" t="n"/>
      <c r="F521" s="1" t="n"/>
      <c r="G521" s="1" t="n"/>
      <c r="H521" s="3" t="n"/>
      <c r="I521" s="3" t="n"/>
    </row>
    <row r="522" ht="14.25" customHeight="1" s="101">
      <c r="A522" s="1" t="n"/>
      <c r="D522" s="2" t="n"/>
      <c r="E522" s="2" t="n"/>
      <c r="F522" s="1" t="n"/>
      <c r="G522" s="1" t="n"/>
      <c r="H522" s="3" t="n"/>
      <c r="I522" s="3" t="n"/>
    </row>
    <row r="523" ht="14.25" customHeight="1" s="101">
      <c r="A523" s="1" t="n"/>
      <c r="D523" s="2" t="n"/>
      <c r="E523" s="2" t="n"/>
      <c r="F523" s="1" t="n"/>
      <c r="G523" s="1" t="n"/>
      <c r="H523" s="3" t="n"/>
      <c r="I523" s="3" t="n"/>
    </row>
    <row r="524" ht="14.25" customHeight="1" s="101">
      <c r="A524" s="1" t="n"/>
      <c r="D524" s="2" t="n"/>
      <c r="E524" s="2" t="n"/>
      <c r="F524" s="1" t="n"/>
      <c r="G524" s="1" t="n"/>
      <c r="H524" s="3" t="n"/>
      <c r="I524" s="3" t="n"/>
    </row>
    <row r="525" ht="14.25" customHeight="1" s="101">
      <c r="A525" s="1" t="n"/>
      <c r="D525" s="2" t="n"/>
      <c r="E525" s="2" t="n"/>
      <c r="F525" s="1" t="n"/>
      <c r="G525" s="1" t="n"/>
      <c r="H525" s="3" t="n"/>
      <c r="I525" s="3" t="n"/>
    </row>
    <row r="526" ht="14.25" customHeight="1" s="101">
      <c r="A526" s="1" t="n"/>
      <c r="D526" s="2" t="n"/>
      <c r="E526" s="2" t="n"/>
      <c r="F526" s="1" t="n"/>
      <c r="G526" s="1" t="n"/>
      <c r="H526" s="3" t="n"/>
      <c r="I526" s="3" t="n"/>
    </row>
    <row r="527" ht="14.25" customHeight="1" s="101">
      <c r="A527" s="1" t="n"/>
      <c r="D527" s="2" t="n"/>
      <c r="E527" s="2" t="n"/>
      <c r="F527" s="1" t="n"/>
      <c r="G527" s="1" t="n"/>
      <c r="H527" s="3" t="n"/>
      <c r="I527" s="3" t="n"/>
    </row>
    <row r="528" ht="14.25" customHeight="1" s="101">
      <c r="A528" s="1" t="n"/>
      <c r="D528" s="2" t="n"/>
      <c r="E528" s="2" t="n"/>
      <c r="F528" s="1" t="n"/>
      <c r="G528" s="1" t="n"/>
      <c r="H528" s="3" t="n"/>
      <c r="I528" s="3" t="n"/>
    </row>
    <row r="529" ht="14.25" customHeight="1" s="101">
      <c r="A529" s="1" t="n"/>
      <c r="D529" s="2" t="n"/>
      <c r="E529" s="2" t="n"/>
      <c r="F529" s="1" t="n"/>
      <c r="G529" s="1" t="n"/>
      <c r="H529" s="3" t="n"/>
      <c r="I529" s="3" t="n"/>
    </row>
    <row r="530" ht="14.25" customHeight="1" s="101">
      <c r="A530" s="1" t="n"/>
      <c r="D530" s="2" t="n"/>
      <c r="E530" s="2" t="n"/>
      <c r="F530" s="1" t="n"/>
      <c r="G530" s="1" t="n"/>
      <c r="H530" s="3" t="n"/>
      <c r="I530" s="3" t="n"/>
    </row>
    <row r="531" ht="14.25" customHeight="1" s="101">
      <c r="A531" s="1" t="n"/>
      <c r="D531" s="2" t="n"/>
      <c r="E531" s="2" t="n"/>
      <c r="F531" s="1" t="n"/>
      <c r="G531" s="1" t="n"/>
      <c r="H531" s="3" t="n"/>
      <c r="I531" s="3" t="n"/>
    </row>
    <row r="532" ht="14.25" customHeight="1" s="101">
      <c r="A532" s="1" t="n"/>
      <c r="D532" s="2" t="n"/>
      <c r="E532" s="2" t="n"/>
      <c r="F532" s="1" t="n"/>
      <c r="G532" s="1" t="n"/>
      <c r="H532" s="3" t="n"/>
      <c r="I532" s="3" t="n"/>
    </row>
    <row r="533" ht="14.25" customHeight="1" s="101">
      <c r="A533" s="1" t="n"/>
      <c r="D533" s="2" t="n"/>
      <c r="E533" s="2" t="n"/>
      <c r="F533" s="1" t="n"/>
      <c r="G533" s="1" t="n"/>
      <c r="H533" s="3" t="n"/>
      <c r="I533" s="3" t="n"/>
    </row>
    <row r="534" ht="14.25" customHeight="1" s="101">
      <c r="A534" s="1" t="n"/>
      <c r="D534" s="2" t="n"/>
      <c r="E534" s="2" t="n"/>
      <c r="F534" s="1" t="n"/>
      <c r="G534" s="1" t="n"/>
      <c r="H534" s="3" t="n"/>
      <c r="I534" s="3" t="n"/>
    </row>
    <row r="535" ht="14.25" customHeight="1" s="101">
      <c r="A535" s="1" t="n"/>
      <c r="D535" s="2" t="n"/>
      <c r="E535" s="2" t="n"/>
      <c r="F535" s="1" t="n"/>
      <c r="G535" s="1" t="n"/>
      <c r="H535" s="3" t="n"/>
      <c r="I535" s="3" t="n"/>
    </row>
    <row r="536" ht="14.25" customHeight="1" s="101">
      <c r="A536" s="1" t="n"/>
      <c r="D536" s="2" t="n"/>
      <c r="E536" s="2" t="n"/>
      <c r="F536" s="1" t="n"/>
      <c r="G536" s="1" t="n"/>
      <c r="H536" s="3" t="n"/>
      <c r="I536" s="3" t="n"/>
    </row>
    <row r="537" ht="14.25" customHeight="1" s="101">
      <c r="A537" s="1" t="n"/>
      <c r="D537" s="2" t="n"/>
      <c r="E537" s="2" t="n"/>
      <c r="F537" s="1" t="n"/>
      <c r="G537" s="1" t="n"/>
      <c r="H537" s="3" t="n"/>
      <c r="I537" s="3" t="n"/>
    </row>
    <row r="538" ht="14.25" customHeight="1" s="101">
      <c r="A538" s="1" t="n"/>
      <c r="D538" s="2" t="n"/>
      <c r="E538" s="2" t="n"/>
      <c r="F538" s="1" t="n"/>
      <c r="G538" s="1" t="n"/>
      <c r="H538" s="3" t="n"/>
      <c r="I538" s="3" t="n"/>
    </row>
    <row r="539" ht="14.25" customHeight="1" s="101">
      <c r="A539" s="1" t="n"/>
      <c r="D539" s="2" t="n"/>
      <c r="E539" s="2" t="n"/>
      <c r="F539" s="1" t="n"/>
      <c r="G539" s="1" t="n"/>
      <c r="H539" s="3" t="n"/>
      <c r="I539" s="3" t="n"/>
    </row>
    <row r="540" ht="14.25" customHeight="1" s="101">
      <c r="A540" s="1" t="n"/>
      <c r="D540" s="2" t="n"/>
      <c r="E540" s="2" t="n"/>
      <c r="F540" s="1" t="n"/>
      <c r="G540" s="1" t="n"/>
      <c r="H540" s="3" t="n"/>
      <c r="I540" s="3" t="n"/>
    </row>
    <row r="541" ht="14.25" customHeight="1" s="101">
      <c r="A541" s="1" t="n"/>
      <c r="D541" s="2" t="n"/>
      <c r="E541" s="2" t="n"/>
      <c r="F541" s="1" t="n"/>
      <c r="G541" s="1" t="n"/>
      <c r="H541" s="3" t="n"/>
      <c r="I541" s="3" t="n"/>
    </row>
    <row r="542" ht="14.25" customHeight="1" s="101">
      <c r="A542" s="1" t="n"/>
      <c r="D542" s="2" t="n"/>
      <c r="E542" s="2" t="n"/>
      <c r="F542" s="1" t="n"/>
      <c r="G542" s="1" t="n"/>
      <c r="H542" s="3" t="n"/>
      <c r="I542" s="3" t="n"/>
    </row>
    <row r="543" ht="14.25" customHeight="1" s="101">
      <c r="A543" s="1" t="n"/>
      <c r="D543" s="2" t="n"/>
      <c r="E543" s="2" t="n"/>
      <c r="F543" s="1" t="n"/>
      <c r="G543" s="1" t="n"/>
      <c r="H543" s="3" t="n"/>
      <c r="I543" s="3" t="n"/>
    </row>
    <row r="544" ht="14.25" customHeight="1" s="101">
      <c r="A544" s="1" t="n"/>
      <c r="D544" s="2" t="n"/>
      <c r="E544" s="2" t="n"/>
      <c r="F544" s="1" t="n"/>
      <c r="G544" s="1" t="n"/>
      <c r="H544" s="3" t="n"/>
      <c r="I544" s="3" t="n"/>
    </row>
    <row r="545" ht="14.25" customHeight="1" s="101">
      <c r="A545" s="1" t="n"/>
      <c r="D545" s="2" t="n"/>
      <c r="E545" s="2" t="n"/>
      <c r="F545" s="1" t="n"/>
      <c r="G545" s="1" t="n"/>
      <c r="H545" s="3" t="n"/>
      <c r="I545" s="3" t="n"/>
    </row>
    <row r="546" ht="14.25" customHeight="1" s="101">
      <c r="A546" s="1" t="n"/>
      <c r="D546" s="2" t="n"/>
      <c r="E546" s="2" t="n"/>
      <c r="F546" s="1" t="n"/>
      <c r="G546" s="1" t="n"/>
      <c r="H546" s="3" t="n"/>
      <c r="I546" s="3" t="n"/>
    </row>
    <row r="547" ht="14.25" customHeight="1" s="101">
      <c r="A547" s="1" t="n"/>
      <c r="D547" s="2" t="n"/>
      <c r="E547" s="2" t="n"/>
      <c r="F547" s="1" t="n"/>
      <c r="G547" s="1" t="n"/>
      <c r="H547" s="3" t="n"/>
      <c r="I547" s="3" t="n"/>
    </row>
    <row r="548" ht="14.25" customHeight="1" s="101">
      <c r="A548" s="1" t="n"/>
      <c r="D548" s="2" t="n"/>
      <c r="E548" s="2" t="n"/>
      <c r="F548" s="1" t="n"/>
      <c r="G548" s="1" t="n"/>
      <c r="H548" s="3" t="n"/>
      <c r="I548" s="3" t="n"/>
    </row>
    <row r="549" ht="14.25" customHeight="1" s="101">
      <c r="A549" s="1" t="n"/>
      <c r="D549" s="2" t="n"/>
      <c r="E549" s="2" t="n"/>
      <c r="F549" s="1" t="n"/>
      <c r="G549" s="1" t="n"/>
      <c r="H549" s="3" t="n"/>
      <c r="I549" s="3" t="n"/>
    </row>
    <row r="550" ht="14.25" customHeight="1" s="101">
      <c r="A550" s="1" t="n"/>
      <c r="D550" s="2" t="n"/>
      <c r="E550" s="2" t="n"/>
      <c r="F550" s="1" t="n"/>
      <c r="G550" s="1" t="n"/>
      <c r="H550" s="3" t="n"/>
      <c r="I550" s="3" t="n"/>
    </row>
    <row r="551" ht="14.25" customHeight="1" s="101">
      <c r="A551" s="1" t="n"/>
      <c r="D551" s="2" t="n"/>
      <c r="E551" s="2" t="n"/>
      <c r="F551" s="1" t="n"/>
      <c r="G551" s="1" t="n"/>
      <c r="H551" s="3" t="n"/>
      <c r="I551" s="3" t="n"/>
    </row>
    <row r="552" ht="14.25" customHeight="1" s="101">
      <c r="A552" s="1" t="n"/>
      <c r="D552" s="2" t="n"/>
      <c r="E552" s="2" t="n"/>
      <c r="F552" s="1" t="n"/>
      <c r="G552" s="1" t="n"/>
      <c r="H552" s="3" t="n"/>
      <c r="I552" s="3" t="n"/>
    </row>
    <row r="553" ht="14.25" customHeight="1" s="101">
      <c r="A553" s="1" t="n"/>
      <c r="D553" s="2" t="n"/>
      <c r="E553" s="2" t="n"/>
      <c r="F553" s="1" t="n"/>
      <c r="G553" s="1" t="n"/>
      <c r="H553" s="3" t="n"/>
      <c r="I553" s="3" t="n"/>
    </row>
    <row r="554" ht="14.25" customHeight="1" s="101">
      <c r="A554" s="1" t="n"/>
      <c r="D554" s="2" t="n"/>
      <c r="E554" s="2" t="n"/>
      <c r="F554" s="1" t="n"/>
      <c r="G554" s="1" t="n"/>
      <c r="H554" s="3" t="n"/>
      <c r="I554" s="3" t="n"/>
    </row>
    <row r="555" ht="14.25" customHeight="1" s="101">
      <c r="A555" s="1" t="n"/>
      <c r="D555" s="2" t="n"/>
      <c r="E555" s="2" t="n"/>
      <c r="F555" s="1" t="n"/>
      <c r="G555" s="1" t="n"/>
      <c r="H555" s="3" t="n"/>
      <c r="I555" s="3" t="n"/>
    </row>
    <row r="556" ht="14.25" customHeight="1" s="101">
      <c r="A556" s="1" t="n"/>
      <c r="D556" s="2" t="n"/>
      <c r="E556" s="2" t="n"/>
      <c r="F556" s="1" t="n"/>
      <c r="G556" s="1" t="n"/>
      <c r="H556" s="3" t="n"/>
      <c r="I556" s="3" t="n"/>
    </row>
    <row r="557" ht="14.25" customHeight="1" s="101">
      <c r="A557" s="1" t="n"/>
      <c r="D557" s="2" t="n"/>
      <c r="E557" s="2" t="n"/>
      <c r="F557" s="1" t="n"/>
      <c r="G557" s="1" t="n"/>
      <c r="H557" s="3" t="n"/>
      <c r="I557" s="3" t="n"/>
    </row>
    <row r="558" ht="14.25" customHeight="1" s="101">
      <c r="A558" s="1" t="n"/>
      <c r="D558" s="2" t="n"/>
      <c r="E558" s="2" t="n"/>
      <c r="F558" s="1" t="n"/>
      <c r="G558" s="1" t="n"/>
      <c r="H558" s="3" t="n"/>
      <c r="I558" s="3" t="n"/>
    </row>
    <row r="559" ht="14.25" customHeight="1" s="101">
      <c r="A559" s="1" t="n"/>
      <c r="D559" s="2" t="n"/>
      <c r="E559" s="2" t="n"/>
      <c r="F559" s="1" t="n"/>
      <c r="G559" s="1" t="n"/>
      <c r="H559" s="3" t="n"/>
      <c r="I559" s="3" t="n"/>
    </row>
    <row r="560" ht="14.25" customHeight="1" s="101">
      <c r="A560" s="1" t="n"/>
      <c r="D560" s="2" t="n"/>
      <c r="E560" s="2" t="n"/>
      <c r="F560" s="1" t="n"/>
      <c r="G560" s="1" t="n"/>
      <c r="H560" s="3" t="n"/>
      <c r="I560" s="3" t="n"/>
    </row>
    <row r="561" ht="14.25" customHeight="1" s="101">
      <c r="A561" s="1" t="n"/>
      <c r="D561" s="2" t="n"/>
      <c r="E561" s="2" t="n"/>
      <c r="F561" s="1" t="n"/>
      <c r="G561" s="1" t="n"/>
      <c r="H561" s="3" t="n"/>
      <c r="I561" s="3" t="n"/>
    </row>
    <row r="562" ht="14.25" customHeight="1" s="101">
      <c r="A562" s="1" t="n"/>
      <c r="D562" s="2" t="n"/>
      <c r="E562" s="2" t="n"/>
      <c r="F562" s="1" t="n"/>
      <c r="G562" s="1" t="n"/>
      <c r="H562" s="3" t="n"/>
      <c r="I562" s="3" t="n"/>
    </row>
    <row r="563" ht="14.25" customHeight="1" s="101">
      <c r="A563" s="1" t="n"/>
      <c r="D563" s="2" t="n"/>
      <c r="E563" s="2" t="n"/>
      <c r="F563" s="1" t="n"/>
      <c r="G563" s="1" t="n"/>
      <c r="H563" s="3" t="n"/>
      <c r="I563" s="3" t="n"/>
    </row>
    <row r="564" ht="14.25" customHeight="1" s="101">
      <c r="A564" s="1" t="n"/>
      <c r="D564" s="2" t="n"/>
      <c r="E564" s="2" t="n"/>
      <c r="F564" s="1" t="n"/>
      <c r="G564" s="1" t="n"/>
      <c r="H564" s="3" t="n"/>
      <c r="I564" s="3" t="n"/>
    </row>
    <row r="565" ht="14.25" customHeight="1" s="101">
      <c r="A565" s="1" t="n"/>
      <c r="D565" s="2" t="n"/>
      <c r="E565" s="2" t="n"/>
      <c r="F565" s="1" t="n"/>
      <c r="G565" s="1" t="n"/>
      <c r="H565" s="3" t="n"/>
      <c r="I565" s="3" t="n"/>
    </row>
    <row r="566" ht="14.25" customHeight="1" s="101">
      <c r="A566" s="1" t="n"/>
      <c r="D566" s="2" t="n"/>
      <c r="E566" s="2" t="n"/>
      <c r="F566" s="1" t="n"/>
      <c r="G566" s="1" t="n"/>
      <c r="H566" s="3" t="n"/>
      <c r="I566" s="3" t="n"/>
    </row>
    <row r="567" ht="14.25" customHeight="1" s="101">
      <c r="A567" s="1" t="n"/>
      <c r="D567" s="2" t="n"/>
      <c r="E567" s="2" t="n"/>
      <c r="F567" s="1" t="n"/>
      <c r="G567" s="1" t="n"/>
      <c r="H567" s="3" t="n"/>
      <c r="I567" s="3" t="n"/>
    </row>
    <row r="568" ht="14.25" customHeight="1" s="101">
      <c r="A568" s="1" t="n"/>
      <c r="D568" s="2" t="n"/>
      <c r="E568" s="2" t="n"/>
      <c r="F568" s="1" t="n"/>
      <c r="G568" s="1" t="n"/>
      <c r="H568" s="3" t="n"/>
      <c r="I568" s="3" t="n"/>
    </row>
    <row r="569" ht="14.25" customHeight="1" s="101">
      <c r="A569" s="1" t="n"/>
      <c r="D569" s="2" t="n"/>
      <c r="E569" s="2" t="n"/>
      <c r="F569" s="1" t="n"/>
      <c r="G569" s="1" t="n"/>
      <c r="H569" s="3" t="n"/>
      <c r="I569" s="3" t="n"/>
    </row>
    <row r="570" ht="14.25" customHeight="1" s="101">
      <c r="A570" s="1" t="n"/>
      <c r="D570" s="2" t="n"/>
      <c r="E570" s="2" t="n"/>
      <c r="F570" s="1" t="n"/>
      <c r="G570" s="1" t="n"/>
      <c r="H570" s="3" t="n"/>
      <c r="I570" s="3" t="n"/>
    </row>
    <row r="571" ht="14.25" customHeight="1" s="101">
      <c r="A571" s="1" t="n"/>
      <c r="D571" s="2" t="n"/>
      <c r="E571" s="2" t="n"/>
      <c r="F571" s="1" t="n"/>
      <c r="G571" s="1" t="n"/>
      <c r="H571" s="3" t="n"/>
      <c r="I571" s="3" t="n"/>
    </row>
    <row r="572" ht="14.25" customHeight="1" s="101">
      <c r="A572" s="1" t="n"/>
      <c r="D572" s="2" t="n"/>
      <c r="E572" s="2" t="n"/>
      <c r="F572" s="1" t="n"/>
      <c r="G572" s="1" t="n"/>
      <c r="H572" s="3" t="n"/>
      <c r="I572" s="3" t="n"/>
    </row>
    <row r="573" ht="14.25" customHeight="1" s="101">
      <c r="A573" s="1" t="n"/>
      <c r="D573" s="2" t="n"/>
      <c r="E573" s="2" t="n"/>
      <c r="F573" s="1" t="n"/>
      <c r="G573" s="1" t="n"/>
      <c r="H573" s="3" t="n"/>
      <c r="I573" s="3" t="n"/>
    </row>
    <row r="574" ht="14.25" customHeight="1" s="101">
      <c r="A574" s="1" t="n"/>
      <c r="D574" s="2" t="n"/>
      <c r="E574" s="2" t="n"/>
      <c r="F574" s="1" t="n"/>
      <c r="G574" s="1" t="n"/>
      <c r="H574" s="3" t="n"/>
      <c r="I574" s="3" t="n"/>
    </row>
    <row r="575" ht="14.25" customHeight="1" s="101">
      <c r="A575" s="1" t="n"/>
      <c r="D575" s="2" t="n"/>
      <c r="E575" s="2" t="n"/>
      <c r="F575" s="1" t="n"/>
      <c r="G575" s="1" t="n"/>
      <c r="H575" s="3" t="n"/>
      <c r="I575" s="3" t="n"/>
    </row>
    <row r="576" ht="14.25" customHeight="1" s="101">
      <c r="A576" s="1" t="n"/>
      <c r="D576" s="2" t="n"/>
      <c r="E576" s="2" t="n"/>
      <c r="F576" s="1" t="n"/>
      <c r="G576" s="1" t="n"/>
      <c r="H576" s="3" t="n"/>
      <c r="I576" s="3" t="n"/>
    </row>
    <row r="577" ht="14.25" customHeight="1" s="101">
      <c r="A577" s="1" t="n"/>
      <c r="D577" s="2" t="n"/>
      <c r="E577" s="2" t="n"/>
      <c r="F577" s="1" t="n"/>
      <c r="G577" s="1" t="n"/>
      <c r="H577" s="3" t="n"/>
      <c r="I577" s="3" t="n"/>
    </row>
    <row r="578" ht="14.25" customHeight="1" s="101">
      <c r="A578" s="1" t="n"/>
      <c r="D578" s="2" t="n"/>
      <c r="E578" s="2" t="n"/>
      <c r="F578" s="1" t="n"/>
      <c r="G578" s="1" t="n"/>
      <c r="H578" s="3" t="n"/>
      <c r="I578" s="3" t="n"/>
    </row>
    <row r="579" ht="14.25" customHeight="1" s="101">
      <c r="A579" s="1" t="n"/>
      <c r="D579" s="2" t="n"/>
      <c r="E579" s="2" t="n"/>
      <c r="F579" s="1" t="n"/>
      <c r="G579" s="1" t="n"/>
      <c r="H579" s="3" t="n"/>
      <c r="I579" s="3" t="n"/>
    </row>
    <row r="580" ht="14.25" customHeight="1" s="101">
      <c r="A580" s="1" t="n"/>
      <c r="D580" s="2" t="n"/>
      <c r="E580" s="2" t="n"/>
      <c r="F580" s="1" t="n"/>
      <c r="G580" s="1" t="n"/>
      <c r="H580" s="3" t="n"/>
      <c r="I580" s="3" t="n"/>
    </row>
    <row r="581" ht="14.25" customHeight="1" s="101">
      <c r="A581" s="1" t="n"/>
      <c r="D581" s="2" t="n"/>
      <c r="E581" s="2" t="n"/>
      <c r="F581" s="1" t="n"/>
      <c r="G581" s="1" t="n"/>
      <c r="H581" s="3" t="n"/>
      <c r="I581" s="3" t="n"/>
    </row>
    <row r="582" ht="14.25" customHeight="1" s="101">
      <c r="A582" s="1" t="n"/>
      <c r="D582" s="2" t="n"/>
      <c r="E582" s="2" t="n"/>
      <c r="F582" s="1" t="n"/>
      <c r="G582" s="1" t="n"/>
      <c r="H582" s="3" t="n"/>
      <c r="I582" s="3" t="n"/>
    </row>
    <row r="583" ht="14.25" customHeight="1" s="101">
      <c r="A583" s="1" t="n"/>
      <c r="D583" s="2" t="n"/>
      <c r="E583" s="2" t="n"/>
      <c r="F583" s="1" t="n"/>
      <c r="G583" s="1" t="n"/>
      <c r="H583" s="3" t="n"/>
      <c r="I583" s="3" t="n"/>
    </row>
    <row r="584" ht="14.25" customHeight="1" s="101">
      <c r="A584" s="1" t="n"/>
      <c r="D584" s="2" t="n"/>
      <c r="E584" s="2" t="n"/>
      <c r="F584" s="1" t="n"/>
      <c r="G584" s="1" t="n"/>
      <c r="H584" s="3" t="n"/>
      <c r="I584" s="3" t="n"/>
    </row>
    <row r="585" ht="14.25" customHeight="1" s="101">
      <c r="A585" s="1" t="n"/>
      <c r="D585" s="2" t="n"/>
      <c r="E585" s="2" t="n"/>
      <c r="F585" s="1" t="n"/>
      <c r="G585" s="1" t="n"/>
      <c r="H585" s="3" t="n"/>
      <c r="I585" s="3" t="n"/>
    </row>
    <row r="586" ht="14.25" customHeight="1" s="101">
      <c r="A586" s="1" t="n"/>
      <c r="D586" s="2" t="n"/>
      <c r="E586" s="2" t="n"/>
      <c r="F586" s="1" t="n"/>
      <c r="G586" s="1" t="n"/>
      <c r="H586" s="3" t="n"/>
      <c r="I586" s="3" t="n"/>
    </row>
    <row r="587" ht="14.25" customHeight="1" s="101">
      <c r="A587" s="1" t="n"/>
      <c r="D587" s="2" t="n"/>
      <c r="E587" s="2" t="n"/>
      <c r="F587" s="1" t="n"/>
      <c r="G587" s="1" t="n"/>
      <c r="H587" s="3" t="n"/>
      <c r="I587" s="3" t="n"/>
    </row>
    <row r="588" ht="14.25" customHeight="1" s="101">
      <c r="A588" s="1" t="n"/>
      <c r="D588" s="2" t="n"/>
      <c r="E588" s="2" t="n"/>
      <c r="F588" s="1" t="n"/>
      <c r="G588" s="1" t="n"/>
      <c r="H588" s="3" t="n"/>
      <c r="I588" s="3" t="n"/>
    </row>
    <row r="589" ht="14.25" customHeight="1" s="101">
      <c r="A589" s="1" t="n"/>
      <c r="D589" s="2" t="n"/>
      <c r="E589" s="2" t="n"/>
      <c r="F589" s="1" t="n"/>
      <c r="G589" s="1" t="n"/>
      <c r="H589" s="3" t="n"/>
      <c r="I589" s="3" t="n"/>
    </row>
    <row r="590" ht="14.25" customHeight="1" s="101">
      <c r="A590" s="1" t="n"/>
      <c r="D590" s="2" t="n"/>
      <c r="E590" s="2" t="n"/>
      <c r="F590" s="1" t="n"/>
      <c r="G590" s="1" t="n"/>
      <c r="H590" s="3" t="n"/>
      <c r="I590" s="3" t="n"/>
    </row>
    <row r="591" ht="14.25" customHeight="1" s="101">
      <c r="A591" s="1" t="n"/>
      <c r="D591" s="2" t="n"/>
      <c r="E591" s="2" t="n"/>
      <c r="F591" s="1" t="n"/>
      <c r="G591" s="1" t="n"/>
      <c r="H591" s="3" t="n"/>
      <c r="I591" s="3" t="n"/>
    </row>
    <row r="592" ht="14.25" customHeight="1" s="101">
      <c r="A592" s="1" t="n"/>
      <c r="D592" s="2" t="n"/>
      <c r="E592" s="2" t="n"/>
      <c r="F592" s="1" t="n"/>
      <c r="G592" s="1" t="n"/>
      <c r="H592" s="3" t="n"/>
      <c r="I592" s="3" t="n"/>
    </row>
    <row r="593" ht="14.25" customHeight="1" s="101">
      <c r="A593" s="1" t="n"/>
      <c r="D593" s="2" t="n"/>
      <c r="E593" s="2" t="n"/>
      <c r="F593" s="1" t="n"/>
      <c r="G593" s="1" t="n"/>
      <c r="H593" s="3" t="n"/>
      <c r="I593" s="3" t="n"/>
    </row>
    <row r="594" ht="14.25" customHeight="1" s="101">
      <c r="A594" s="1" t="n"/>
      <c r="D594" s="2" t="n"/>
      <c r="E594" s="2" t="n"/>
      <c r="F594" s="1" t="n"/>
      <c r="G594" s="1" t="n"/>
      <c r="H594" s="3" t="n"/>
      <c r="I594" s="3" t="n"/>
    </row>
    <row r="595" ht="14.25" customHeight="1" s="101">
      <c r="A595" s="1" t="n"/>
      <c r="D595" s="2" t="n"/>
      <c r="E595" s="2" t="n"/>
      <c r="F595" s="1" t="n"/>
      <c r="G595" s="1" t="n"/>
      <c r="H595" s="3" t="n"/>
      <c r="I595" s="3" t="n"/>
    </row>
    <row r="596" ht="14.25" customHeight="1" s="101">
      <c r="A596" s="1" t="n"/>
      <c r="D596" s="2" t="n"/>
      <c r="E596" s="2" t="n"/>
      <c r="F596" s="1" t="n"/>
      <c r="G596" s="1" t="n"/>
      <c r="H596" s="3" t="n"/>
      <c r="I596" s="3" t="n"/>
    </row>
    <row r="597" ht="14.25" customHeight="1" s="101">
      <c r="A597" s="1" t="n"/>
      <c r="D597" s="2" t="n"/>
      <c r="E597" s="2" t="n"/>
      <c r="F597" s="1" t="n"/>
      <c r="G597" s="1" t="n"/>
      <c r="H597" s="3" t="n"/>
      <c r="I597" s="3" t="n"/>
    </row>
    <row r="598" ht="14.25" customHeight="1" s="101">
      <c r="A598" s="1" t="n"/>
      <c r="D598" s="2" t="n"/>
      <c r="E598" s="2" t="n"/>
      <c r="F598" s="1" t="n"/>
      <c r="G598" s="1" t="n"/>
      <c r="H598" s="3" t="n"/>
      <c r="I598" s="3" t="n"/>
    </row>
    <row r="599" ht="14.25" customHeight="1" s="101">
      <c r="A599" s="1" t="n"/>
      <c r="D599" s="2" t="n"/>
      <c r="E599" s="2" t="n"/>
      <c r="F599" s="1" t="n"/>
      <c r="G599" s="1" t="n"/>
      <c r="H599" s="3" t="n"/>
      <c r="I599" s="3" t="n"/>
    </row>
    <row r="600" ht="14.25" customHeight="1" s="101">
      <c r="A600" s="1" t="n"/>
      <c r="D600" s="2" t="n"/>
      <c r="E600" s="2" t="n"/>
      <c r="F600" s="1" t="n"/>
      <c r="G600" s="1" t="n"/>
      <c r="H600" s="3" t="n"/>
      <c r="I600" s="3" t="n"/>
    </row>
    <row r="601" ht="14.25" customHeight="1" s="101">
      <c r="A601" s="1" t="n"/>
      <c r="D601" s="2" t="n"/>
      <c r="E601" s="2" t="n"/>
      <c r="F601" s="1" t="n"/>
      <c r="G601" s="1" t="n"/>
      <c r="H601" s="3" t="n"/>
      <c r="I601" s="3" t="n"/>
    </row>
    <row r="602" ht="14.25" customHeight="1" s="101">
      <c r="A602" s="1" t="n"/>
      <c r="D602" s="2" t="n"/>
      <c r="E602" s="2" t="n"/>
      <c r="F602" s="1" t="n"/>
      <c r="G602" s="1" t="n"/>
      <c r="H602" s="3" t="n"/>
      <c r="I602" s="3" t="n"/>
    </row>
    <row r="603" ht="14.25" customHeight="1" s="101">
      <c r="A603" s="1" t="n"/>
      <c r="D603" s="2" t="n"/>
      <c r="E603" s="2" t="n"/>
      <c r="F603" s="1" t="n"/>
      <c r="G603" s="1" t="n"/>
      <c r="H603" s="3" t="n"/>
      <c r="I603" s="3" t="n"/>
    </row>
    <row r="604" ht="14.25" customHeight="1" s="101">
      <c r="A604" s="1" t="n"/>
      <c r="D604" s="2" t="n"/>
      <c r="E604" s="2" t="n"/>
      <c r="F604" s="1" t="n"/>
      <c r="G604" s="1" t="n"/>
      <c r="H604" s="3" t="n"/>
      <c r="I604" s="3" t="n"/>
    </row>
    <row r="605" ht="14.25" customHeight="1" s="101">
      <c r="A605" s="1" t="n"/>
      <c r="D605" s="2" t="n"/>
      <c r="E605" s="2" t="n"/>
      <c r="F605" s="1" t="n"/>
      <c r="G605" s="1" t="n"/>
      <c r="H605" s="3" t="n"/>
      <c r="I605" s="3" t="n"/>
    </row>
    <row r="606" ht="14.25" customHeight="1" s="101">
      <c r="A606" s="1" t="n"/>
      <c r="D606" s="2" t="n"/>
      <c r="E606" s="2" t="n"/>
      <c r="F606" s="1" t="n"/>
      <c r="G606" s="1" t="n"/>
      <c r="H606" s="3" t="n"/>
      <c r="I606" s="3" t="n"/>
    </row>
    <row r="607" ht="14.25" customHeight="1" s="101">
      <c r="A607" s="1" t="n"/>
      <c r="D607" s="2" t="n"/>
      <c r="E607" s="2" t="n"/>
      <c r="F607" s="1" t="n"/>
      <c r="G607" s="1" t="n"/>
      <c r="H607" s="3" t="n"/>
      <c r="I607" s="3" t="n"/>
    </row>
    <row r="608" ht="14.25" customHeight="1" s="101">
      <c r="A608" s="1" t="n"/>
      <c r="D608" s="2" t="n"/>
      <c r="E608" s="2" t="n"/>
      <c r="F608" s="1" t="n"/>
      <c r="G608" s="1" t="n"/>
      <c r="H608" s="3" t="n"/>
      <c r="I608" s="3" t="n"/>
    </row>
    <row r="609" ht="14.25" customHeight="1" s="101">
      <c r="A609" s="1" t="n"/>
      <c r="D609" s="2" t="n"/>
      <c r="E609" s="2" t="n"/>
      <c r="F609" s="1" t="n"/>
      <c r="G609" s="1" t="n"/>
      <c r="H609" s="3" t="n"/>
      <c r="I609" s="3" t="n"/>
    </row>
    <row r="610" ht="14.25" customHeight="1" s="101">
      <c r="A610" s="1" t="n"/>
      <c r="D610" s="2" t="n"/>
      <c r="E610" s="2" t="n"/>
      <c r="F610" s="1" t="n"/>
      <c r="G610" s="1" t="n"/>
      <c r="H610" s="3" t="n"/>
      <c r="I610" s="3" t="n"/>
    </row>
    <row r="611" ht="14.25" customHeight="1" s="101">
      <c r="A611" s="1" t="n"/>
      <c r="D611" s="2" t="n"/>
      <c r="E611" s="2" t="n"/>
      <c r="F611" s="1" t="n"/>
      <c r="G611" s="1" t="n"/>
      <c r="H611" s="3" t="n"/>
      <c r="I611" s="3" t="n"/>
    </row>
    <row r="612" ht="14.25" customHeight="1" s="101">
      <c r="A612" s="1" t="n"/>
      <c r="D612" s="2" t="n"/>
      <c r="E612" s="2" t="n"/>
      <c r="F612" s="1" t="n"/>
      <c r="G612" s="1" t="n"/>
      <c r="H612" s="3" t="n"/>
      <c r="I612" s="3" t="n"/>
    </row>
    <row r="613" ht="14.25" customHeight="1" s="101">
      <c r="A613" s="1" t="n"/>
      <c r="D613" s="2" t="n"/>
      <c r="E613" s="2" t="n"/>
      <c r="F613" s="1" t="n"/>
      <c r="G613" s="1" t="n"/>
      <c r="H613" s="3" t="n"/>
      <c r="I613" s="3" t="n"/>
    </row>
    <row r="614" ht="14.25" customHeight="1" s="101">
      <c r="A614" s="1" t="n"/>
      <c r="D614" s="2" t="n"/>
      <c r="E614" s="2" t="n"/>
      <c r="F614" s="1" t="n"/>
      <c r="G614" s="1" t="n"/>
      <c r="H614" s="3" t="n"/>
      <c r="I614" s="3" t="n"/>
    </row>
    <row r="615" ht="14.25" customHeight="1" s="101">
      <c r="A615" s="1" t="n"/>
      <c r="D615" s="2" t="n"/>
      <c r="E615" s="2" t="n"/>
      <c r="F615" s="1" t="n"/>
      <c r="G615" s="1" t="n"/>
      <c r="H615" s="3" t="n"/>
      <c r="I615" s="3" t="n"/>
    </row>
    <row r="616" ht="14.25" customHeight="1" s="101">
      <c r="A616" s="1" t="n"/>
      <c r="D616" s="2" t="n"/>
      <c r="E616" s="2" t="n"/>
      <c r="F616" s="1" t="n"/>
      <c r="G616" s="1" t="n"/>
      <c r="H616" s="3" t="n"/>
      <c r="I616" s="3" t="n"/>
    </row>
    <row r="617" ht="14.25" customHeight="1" s="101">
      <c r="A617" s="1" t="n"/>
      <c r="D617" s="2" t="n"/>
      <c r="E617" s="2" t="n"/>
      <c r="F617" s="1" t="n"/>
      <c r="G617" s="1" t="n"/>
      <c r="H617" s="3" t="n"/>
      <c r="I617" s="3" t="n"/>
    </row>
    <row r="618" ht="14.25" customHeight="1" s="101">
      <c r="A618" s="1" t="n"/>
      <c r="D618" s="2" t="n"/>
      <c r="E618" s="2" t="n"/>
      <c r="F618" s="1" t="n"/>
      <c r="G618" s="1" t="n"/>
      <c r="H618" s="3" t="n"/>
      <c r="I618" s="3" t="n"/>
    </row>
    <row r="619" ht="14.25" customHeight="1" s="101">
      <c r="A619" s="1" t="n"/>
      <c r="D619" s="2" t="n"/>
      <c r="E619" s="2" t="n"/>
      <c r="F619" s="1" t="n"/>
      <c r="G619" s="1" t="n"/>
      <c r="H619" s="3" t="n"/>
      <c r="I619" s="3" t="n"/>
    </row>
    <row r="620" ht="14.25" customHeight="1" s="101">
      <c r="A620" s="1" t="n"/>
      <c r="D620" s="2" t="n"/>
      <c r="E620" s="2" t="n"/>
      <c r="F620" s="1" t="n"/>
      <c r="G620" s="1" t="n"/>
      <c r="H620" s="3" t="n"/>
      <c r="I620" s="3" t="n"/>
    </row>
    <row r="621" ht="14.25" customHeight="1" s="101">
      <c r="A621" s="1" t="n"/>
      <c r="D621" s="2" t="n"/>
      <c r="E621" s="2" t="n"/>
      <c r="F621" s="1" t="n"/>
      <c r="G621" s="1" t="n"/>
      <c r="H621" s="3" t="n"/>
      <c r="I621" s="3" t="n"/>
    </row>
    <row r="622" ht="14.25" customHeight="1" s="101">
      <c r="A622" s="1" t="n"/>
      <c r="D622" s="2" t="n"/>
      <c r="E622" s="2" t="n"/>
      <c r="F622" s="1" t="n"/>
      <c r="G622" s="1" t="n"/>
      <c r="H622" s="3" t="n"/>
      <c r="I622" s="3" t="n"/>
    </row>
    <row r="623" ht="14.25" customHeight="1" s="101">
      <c r="A623" s="1" t="n"/>
      <c r="D623" s="2" t="n"/>
      <c r="E623" s="2" t="n"/>
      <c r="F623" s="1" t="n"/>
      <c r="G623" s="1" t="n"/>
      <c r="H623" s="3" t="n"/>
      <c r="I623" s="3" t="n"/>
    </row>
    <row r="624" ht="14.25" customHeight="1" s="101">
      <c r="A624" s="1" t="n"/>
      <c r="D624" s="2" t="n"/>
      <c r="E624" s="2" t="n"/>
      <c r="F624" s="1" t="n"/>
      <c r="G624" s="1" t="n"/>
      <c r="H624" s="3" t="n"/>
      <c r="I624" s="3" t="n"/>
    </row>
    <row r="625" ht="14.25" customHeight="1" s="101">
      <c r="A625" s="1" t="n"/>
      <c r="D625" s="2" t="n"/>
      <c r="E625" s="2" t="n"/>
      <c r="F625" s="1" t="n"/>
      <c r="G625" s="1" t="n"/>
      <c r="H625" s="3" t="n"/>
      <c r="I625" s="3" t="n"/>
    </row>
    <row r="626" ht="14.25" customHeight="1" s="101">
      <c r="A626" s="1" t="n"/>
      <c r="D626" s="2" t="n"/>
      <c r="E626" s="2" t="n"/>
      <c r="F626" s="1" t="n"/>
      <c r="G626" s="1" t="n"/>
      <c r="H626" s="3" t="n"/>
      <c r="I626" s="3" t="n"/>
    </row>
    <row r="627" ht="14.25" customHeight="1" s="101">
      <c r="A627" s="1" t="n"/>
      <c r="D627" s="2" t="n"/>
      <c r="E627" s="2" t="n"/>
      <c r="F627" s="1" t="n"/>
      <c r="G627" s="1" t="n"/>
      <c r="H627" s="3" t="n"/>
      <c r="I627" s="3" t="n"/>
    </row>
    <row r="628" ht="14.25" customHeight="1" s="101">
      <c r="A628" s="1" t="n"/>
      <c r="D628" s="2" t="n"/>
      <c r="E628" s="2" t="n"/>
      <c r="F628" s="1" t="n"/>
      <c r="G628" s="1" t="n"/>
      <c r="H628" s="3" t="n"/>
      <c r="I628" s="3" t="n"/>
    </row>
    <row r="629" ht="14.25" customHeight="1" s="101">
      <c r="A629" s="1" t="n"/>
      <c r="D629" s="2" t="n"/>
      <c r="E629" s="2" t="n"/>
      <c r="F629" s="1" t="n"/>
      <c r="G629" s="1" t="n"/>
      <c r="H629" s="3" t="n"/>
      <c r="I629" s="3" t="n"/>
    </row>
    <row r="630" ht="14.25" customHeight="1" s="101">
      <c r="A630" s="1" t="n"/>
      <c r="D630" s="2" t="n"/>
      <c r="E630" s="2" t="n"/>
      <c r="F630" s="1" t="n"/>
      <c r="G630" s="1" t="n"/>
      <c r="H630" s="3" t="n"/>
      <c r="I630" s="3" t="n"/>
    </row>
    <row r="631" ht="14.25" customHeight="1" s="101">
      <c r="A631" s="1" t="n"/>
      <c r="D631" s="2" t="n"/>
      <c r="E631" s="2" t="n"/>
      <c r="F631" s="1" t="n"/>
      <c r="G631" s="1" t="n"/>
      <c r="H631" s="3" t="n"/>
      <c r="I631" s="3" t="n"/>
    </row>
    <row r="632" ht="14.25" customHeight="1" s="101">
      <c r="A632" s="1" t="n"/>
      <c r="D632" s="2" t="n"/>
      <c r="E632" s="2" t="n"/>
      <c r="F632" s="1" t="n"/>
      <c r="G632" s="1" t="n"/>
      <c r="H632" s="3" t="n"/>
      <c r="I632" s="3" t="n"/>
    </row>
    <row r="633" ht="14.25" customHeight="1" s="101">
      <c r="A633" s="1" t="n"/>
      <c r="D633" s="2" t="n"/>
      <c r="E633" s="2" t="n"/>
      <c r="F633" s="1" t="n"/>
      <c r="G633" s="1" t="n"/>
      <c r="H633" s="3" t="n"/>
      <c r="I633" s="3" t="n"/>
    </row>
    <row r="634" ht="14.25" customHeight="1" s="101">
      <c r="A634" s="1" t="n"/>
      <c r="D634" s="2" t="n"/>
      <c r="E634" s="2" t="n"/>
      <c r="F634" s="1" t="n"/>
      <c r="G634" s="1" t="n"/>
      <c r="H634" s="3" t="n"/>
      <c r="I634" s="3" t="n"/>
    </row>
    <row r="635" ht="14.25" customHeight="1" s="101">
      <c r="A635" s="1" t="n"/>
      <c r="D635" s="2" t="n"/>
      <c r="E635" s="2" t="n"/>
      <c r="F635" s="1" t="n"/>
      <c r="G635" s="1" t="n"/>
      <c r="H635" s="3" t="n"/>
      <c r="I635" s="3" t="n"/>
    </row>
    <row r="636" ht="14.25" customHeight="1" s="101">
      <c r="A636" s="1" t="n"/>
      <c r="D636" s="2" t="n"/>
      <c r="E636" s="2" t="n"/>
      <c r="F636" s="1" t="n"/>
      <c r="G636" s="1" t="n"/>
      <c r="H636" s="3" t="n"/>
      <c r="I636" s="3" t="n"/>
    </row>
    <row r="637" ht="14.25" customHeight="1" s="101">
      <c r="A637" s="1" t="n"/>
      <c r="D637" s="2" t="n"/>
      <c r="E637" s="2" t="n"/>
      <c r="F637" s="1" t="n"/>
      <c r="G637" s="1" t="n"/>
      <c r="H637" s="3" t="n"/>
      <c r="I637" s="3" t="n"/>
    </row>
    <row r="638" ht="14.25" customHeight="1" s="101">
      <c r="A638" s="1" t="n"/>
      <c r="D638" s="2" t="n"/>
      <c r="E638" s="2" t="n"/>
      <c r="F638" s="1" t="n"/>
      <c r="G638" s="1" t="n"/>
      <c r="H638" s="3" t="n"/>
      <c r="I638" s="3" t="n"/>
    </row>
    <row r="639" ht="14.25" customHeight="1" s="101">
      <c r="A639" s="1" t="n"/>
      <c r="D639" s="2" t="n"/>
      <c r="E639" s="2" t="n"/>
      <c r="F639" s="1" t="n"/>
      <c r="G639" s="1" t="n"/>
      <c r="H639" s="3" t="n"/>
      <c r="I639" s="3" t="n"/>
    </row>
    <row r="640" ht="14.25" customHeight="1" s="101">
      <c r="A640" s="1" t="n"/>
      <c r="D640" s="2" t="n"/>
      <c r="E640" s="2" t="n"/>
      <c r="F640" s="1" t="n"/>
      <c r="G640" s="1" t="n"/>
      <c r="H640" s="3" t="n"/>
      <c r="I640" s="3" t="n"/>
    </row>
    <row r="641" ht="14.25" customHeight="1" s="101">
      <c r="A641" s="1" t="n"/>
      <c r="D641" s="2" t="n"/>
      <c r="E641" s="2" t="n"/>
      <c r="F641" s="1" t="n"/>
      <c r="G641" s="1" t="n"/>
      <c r="H641" s="3" t="n"/>
      <c r="I641" s="3" t="n"/>
    </row>
    <row r="642" ht="14.25" customHeight="1" s="101">
      <c r="A642" s="1" t="n"/>
      <c r="D642" s="2" t="n"/>
      <c r="E642" s="2" t="n"/>
      <c r="F642" s="1" t="n"/>
      <c r="G642" s="1" t="n"/>
      <c r="H642" s="3" t="n"/>
      <c r="I642" s="3" t="n"/>
    </row>
    <row r="643" ht="14.25" customHeight="1" s="101">
      <c r="A643" s="1" t="n"/>
      <c r="D643" s="2" t="n"/>
      <c r="E643" s="2" t="n"/>
      <c r="F643" s="1" t="n"/>
      <c r="G643" s="1" t="n"/>
      <c r="H643" s="3" t="n"/>
      <c r="I643" s="3" t="n"/>
    </row>
    <row r="644" ht="14.25" customHeight="1" s="101">
      <c r="A644" s="1" t="n"/>
      <c r="D644" s="2" t="n"/>
      <c r="E644" s="2" t="n"/>
      <c r="F644" s="1" t="n"/>
      <c r="G644" s="1" t="n"/>
      <c r="H644" s="3" t="n"/>
      <c r="I644" s="3" t="n"/>
    </row>
    <row r="645" ht="14.25" customHeight="1" s="101">
      <c r="A645" s="1" t="n"/>
      <c r="D645" s="2" t="n"/>
      <c r="E645" s="2" t="n"/>
      <c r="F645" s="1" t="n"/>
      <c r="G645" s="1" t="n"/>
      <c r="H645" s="3" t="n"/>
      <c r="I645" s="3" t="n"/>
    </row>
    <row r="646" ht="14.25" customHeight="1" s="101">
      <c r="A646" s="1" t="n"/>
      <c r="D646" s="2" t="n"/>
      <c r="E646" s="2" t="n"/>
      <c r="F646" s="1" t="n"/>
      <c r="G646" s="1" t="n"/>
      <c r="H646" s="3" t="n"/>
      <c r="I646" s="3" t="n"/>
    </row>
    <row r="647" ht="14.25" customHeight="1" s="101">
      <c r="A647" s="1" t="n"/>
      <c r="D647" s="2" t="n"/>
      <c r="E647" s="2" t="n"/>
      <c r="F647" s="1" t="n"/>
      <c r="G647" s="1" t="n"/>
      <c r="H647" s="3" t="n"/>
      <c r="I647" s="3" t="n"/>
    </row>
    <row r="648" ht="14.25" customHeight="1" s="101">
      <c r="A648" s="1" t="n"/>
      <c r="D648" s="2" t="n"/>
      <c r="E648" s="2" t="n"/>
      <c r="F648" s="1" t="n"/>
      <c r="G648" s="1" t="n"/>
      <c r="H648" s="3" t="n"/>
      <c r="I648" s="3" t="n"/>
    </row>
    <row r="649" ht="14.25" customHeight="1" s="101">
      <c r="A649" s="1" t="n"/>
      <c r="D649" s="2" t="n"/>
      <c r="E649" s="2" t="n"/>
      <c r="F649" s="1" t="n"/>
      <c r="G649" s="1" t="n"/>
      <c r="H649" s="3" t="n"/>
      <c r="I649" s="3" t="n"/>
    </row>
    <row r="650" ht="14.25" customHeight="1" s="101">
      <c r="A650" s="1" t="n"/>
      <c r="D650" s="2" t="n"/>
      <c r="E650" s="2" t="n"/>
      <c r="F650" s="1" t="n"/>
      <c r="G650" s="1" t="n"/>
      <c r="H650" s="3" t="n"/>
      <c r="I650" s="3" t="n"/>
    </row>
    <row r="651" ht="14.25" customHeight="1" s="101">
      <c r="A651" s="1" t="n"/>
      <c r="D651" s="2" t="n"/>
      <c r="E651" s="2" t="n"/>
      <c r="F651" s="1" t="n"/>
      <c r="G651" s="1" t="n"/>
      <c r="H651" s="3" t="n"/>
      <c r="I651" s="3" t="n"/>
    </row>
    <row r="652" ht="14.25" customHeight="1" s="101">
      <c r="A652" s="1" t="n"/>
      <c r="D652" s="2" t="n"/>
      <c r="E652" s="2" t="n"/>
      <c r="F652" s="1" t="n"/>
      <c r="G652" s="1" t="n"/>
      <c r="H652" s="3" t="n"/>
      <c r="I652" s="3" t="n"/>
    </row>
    <row r="653" ht="14.25" customHeight="1" s="101">
      <c r="A653" s="1" t="n"/>
      <c r="D653" s="2" t="n"/>
      <c r="E653" s="2" t="n"/>
      <c r="F653" s="1" t="n"/>
      <c r="G653" s="1" t="n"/>
      <c r="H653" s="3" t="n"/>
      <c r="I653" s="3" t="n"/>
    </row>
    <row r="654" ht="14.25" customHeight="1" s="101">
      <c r="A654" s="1" t="n"/>
      <c r="D654" s="2" t="n"/>
      <c r="E654" s="2" t="n"/>
      <c r="F654" s="1" t="n"/>
      <c r="G654" s="1" t="n"/>
      <c r="H654" s="3" t="n"/>
      <c r="I654" s="3" t="n"/>
    </row>
    <row r="655" ht="14.25" customHeight="1" s="101">
      <c r="A655" s="1" t="n"/>
      <c r="D655" s="2" t="n"/>
      <c r="E655" s="2" t="n"/>
      <c r="F655" s="1" t="n"/>
      <c r="G655" s="1" t="n"/>
      <c r="H655" s="3" t="n"/>
      <c r="I655" s="3" t="n"/>
    </row>
    <row r="656" ht="14.25" customHeight="1" s="101">
      <c r="A656" s="1" t="n"/>
      <c r="D656" s="2" t="n"/>
      <c r="E656" s="2" t="n"/>
      <c r="F656" s="1" t="n"/>
      <c r="G656" s="1" t="n"/>
      <c r="H656" s="3" t="n"/>
      <c r="I656" s="3" t="n"/>
    </row>
    <row r="657" ht="14.25" customHeight="1" s="101">
      <c r="A657" s="1" t="n"/>
      <c r="D657" s="2" t="n"/>
      <c r="E657" s="2" t="n"/>
      <c r="F657" s="1" t="n"/>
      <c r="G657" s="1" t="n"/>
      <c r="H657" s="3" t="n"/>
      <c r="I657" s="3" t="n"/>
    </row>
    <row r="658" ht="14.25" customHeight="1" s="101">
      <c r="A658" s="1" t="n"/>
      <c r="D658" s="2" t="n"/>
      <c r="E658" s="2" t="n"/>
      <c r="F658" s="1" t="n"/>
      <c r="G658" s="1" t="n"/>
      <c r="H658" s="3" t="n"/>
      <c r="I658" s="3" t="n"/>
    </row>
    <row r="659" ht="14.25" customHeight="1" s="101">
      <c r="A659" s="1" t="n"/>
      <c r="D659" s="2" t="n"/>
      <c r="E659" s="2" t="n"/>
      <c r="F659" s="1" t="n"/>
      <c r="G659" s="1" t="n"/>
      <c r="H659" s="3" t="n"/>
      <c r="I659" s="3" t="n"/>
    </row>
    <row r="660" ht="14.25" customHeight="1" s="101">
      <c r="A660" s="1" t="n"/>
      <c r="D660" s="2" t="n"/>
      <c r="E660" s="2" t="n"/>
      <c r="F660" s="1" t="n"/>
      <c r="G660" s="1" t="n"/>
      <c r="H660" s="3" t="n"/>
      <c r="I660" s="3" t="n"/>
    </row>
    <row r="661" ht="14.25" customHeight="1" s="101">
      <c r="A661" s="1" t="n"/>
      <c r="D661" s="2" t="n"/>
      <c r="E661" s="2" t="n"/>
      <c r="F661" s="1" t="n"/>
      <c r="G661" s="1" t="n"/>
      <c r="H661" s="3" t="n"/>
      <c r="I661" s="3" t="n"/>
    </row>
    <row r="662" ht="14.25" customHeight="1" s="101">
      <c r="A662" s="1" t="n"/>
      <c r="D662" s="2" t="n"/>
      <c r="E662" s="2" t="n"/>
      <c r="F662" s="1" t="n"/>
      <c r="G662" s="1" t="n"/>
      <c r="H662" s="3" t="n"/>
      <c r="I662" s="3" t="n"/>
    </row>
    <row r="663" ht="14.25" customHeight="1" s="101">
      <c r="A663" s="1" t="n"/>
      <c r="D663" s="2" t="n"/>
      <c r="E663" s="2" t="n"/>
      <c r="F663" s="1" t="n"/>
      <c r="G663" s="1" t="n"/>
      <c r="H663" s="3" t="n"/>
      <c r="I663" s="3" t="n"/>
    </row>
    <row r="664" ht="14.25" customHeight="1" s="101">
      <c r="A664" s="1" t="n"/>
      <c r="D664" s="2" t="n"/>
      <c r="E664" s="2" t="n"/>
      <c r="F664" s="1" t="n"/>
      <c r="G664" s="1" t="n"/>
      <c r="H664" s="3" t="n"/>
      <c r="I664" s="3" t="n"/>
    </row>
    <row r="665" ht="14.25" customHeight="1" s="101">
      <c r="A665" s="1" t="n"/>
      <c r="D665" s="2" t="n"/>
      <c r="E665" s="2" t="n"/>
      <c r="F665" s="1" t="n"/>
      <c r="G665" s="1" t="n"/>
      <c r="H665" s="3" t="n"/>
      <c r="I665" s="3" t="n"/>
    </row>
    <row r="666" ht="14.25" customHeight="1" s="101">
      <c r="A666" s="1" t="n"/>
      <c r="D666" s="2" t="n"/>
      <c r="E666" s="2" t="n"/>
      <c r="F666" s="1" t="n"/>
      <c r="G666" s="1" t="n"/>
      <c r="H666" s="3" t="n"/>
      <c r="I666" s="3" t="n"/>
    </row>
    <row r="667" ht="14.25" customHeight="1" s="101">
      <c r="A667" s="1" t="n"/>
      <c r="D667" s="2" t="n"/>
      <c r="E667" s="2" t="n"/>
      <c r="F667" s="1" t="n"/>
      <c r="G667" s="1" t="n"/>
      <c r="H667" s="3" t="n"/>
      <c r="I667" s="3" t="n"/>
    </row>
    <row r="668" ht="14.25" customHeight="1" s="101">
      <c r="A668" s="1" t="n"/>
      <c r="D668" s="2" t="n"/>
      <c r="E668" s="2" t="n"/>
      <c r="F668" s="1" t="n"/>
      <c r="G668" s="1" t="n"/>
      <c r="H668" s="3" t="n"/>
      <c r="I668" s="3" t="n"/>
    </row>
    <row r="669" ht="14.25" customHeight="1" s="101">
      <c r="A669" s="1" t="n"/>
      <c r="D669" s="2" t="n"/>
      <c r="E669" s="2" t="n"/>
      <c r="F669" s="1" t="n"/>
      <c r="G669" s="1" t="n"/>
      <c r="H669" s="3" t="n"/>
      <c r="I669" s="3" t="n"/>
    </row>
    <row r="670" ht="14.25" customHeight="1" s="101">
      <c r="A670" s="1" t="n"/>
      <c r="D670" s="2" t="n"/>
      <c r="E670" s="2" t="n"/>
      <c r="F670" s="1" t="n"/>
      <c r="G670" s="1" t="n"/>
      <c r="H670" s="3" t="n"/>
      <c r="I670" s="3" t="n"/>
    </row>
    <row r="671" ht="14.25" customHeight="1" s="101">
      <c r="A671" s="1" t="n"/>
      <c r="D671" s="2" t="n"/>
      <c r="E671" s="2" t="n"/>
      <c r="F671" s="1" t="n"/>
      <c r="G671" s="1" t="n"/>
      <c r="H671" s="3" t="n"/>
      <c r="I671" s="3" t="n"/>
    </row>
    <row r="672" ht="14.25" customHeight="1" s="101">
      <c r="A672" s="1" t="n"/>
      <c r="D672" s="2" t="n"/>
      <c r="E672" s="2" t="n"/>
      <c r="F672" s="1" t="n"/>
      <c r="G672" s="1" t="n"/>
      <c r="H672" s="3" t="n"/>
      <c r="I672" s="3" t="n"/>
    </row>
    <row r="673" ht="14.25" customHeight="1" s="101">
      <c r="A673" s="1" t="n"/>
      <c r="D673" s="2" t="n"/>
      <c r="E673" s="2" t="n"/>
      <c r="F673" s="1" t="n"/>
      <c r="G673" s="1" t="n"/>
      <c r="H673" s="3" t="n"/>
      <c r="I673" s="3" t="n"/>
    </row>
    <row r="674" ht="14.25" customHeight="1" s="101">
      <c r="A674" s="1" t="n"/>
      <c r="D674" s="2" t="n"/>
      <c r="E674" s="2" t="n"/>
      <c r="F674" s="1" t="n"/>
      <c r="G674" s="1" t="n"/>
      <c r="H674" s="3" t="n"/>
      <c r="I674" s="3" t="n"/>
    </row>
    <row r="675" ht="14.25" customHeight="1" s="101">
      <c r="A675" s="1" t="n"/>
      <c r="D675" s="2" t="n"/>
      <c r="E675" s="2" t="n"/>
      <c r="F675" s="1" t="n"/>
      <c r="G675" s="1" t="n"/>
      <c r="H675" s="3" t="n"/>
      <c r="I675" s="3" t="n"/>
    </row>
    <row r="676" ht="14.25" customHeight="1" s="101">
      <c r="A676" s="1" t="n"/>
      <c r="D676" s="2" t="n"/>
      <c r="E676" s="2" t="n"/>
      <c r="F676" s="1" t="n"/>
      <c r="G676" s="1" t="n"/>
      <c r="H676" s="3" t="n"/>
      <c r="I676" s="3" t="n"/>
    </row>
    <row r="677" ht="14.25" customHeight="1" s="101">
      <c r="A677" s="1" t="n"/>
      <c r="D677" s="2" t="n"/>
      <c r="E677" s="2" t="n"/>
      <c r="F677" s="1" t="n"/>
      <c r="G677" s="1" t="n"/>
      <c r="H677" s="3" t="n"/>
      <c r="I677" s="3" t="n"/>
    </row>
    <row r="678" ht="14.25" customHeight="1" s="101">
      <c r="A678" s="1" t="n"/>
      <c r="D678" s="2" t="n"/>
      <c r="E678" s="2" t="n"/>
      <c r="F678" s="1" t="n"/>
      <c r="G678" s="1" t="n"/>
      <c r="H678" s="3" t="n"/>
      <c r="I678" s="3" t="n"/>
    </row>
    <row r="679" ht="14.25" customHeight="1" s="101">
      <c r="A679" s="1" t="n"/>
      <c r="D679" s="2" t="n"/>
      <c r="E679" s="2" t="n"/>
      <c r="F679" s="1" t="n"/>
      <c r="G679" s="1" t="n"/>
      <c r="H679" s="3" t="n"/>
      <c r="I679" s="3" t="n"/>
    </row>
    <row r="680" ht="14.25" customHeight="1" s="101">
      <c r="A680" s="1" t="n"/>
      <c r="D680" s="2" t="n"/>
      <c r="E680" s="2" t="n"/>
      <c r="F680" s="1" t="n"/>
      <c r="G680" s="1" t="n"/>
      <c r="H680" s="3" t="n"/>
      <c r="I680" s="3" t="n"/>
    </row>
    <row r="681" ht="14.25" customHeight="1" s="101">
      <c r="A681" s="1" t="n"/>
      <c r="D681" s="2" t="n"/>
      <c r="E681" s="2" t="n"/>
      <c r="F681" s="1" t="n"/>
      <c r="G681" s="1" t="n"/>
      <c r="H681" s="3" t="n"/>
      <c r="I681" s="3" t="n"/>
    </row>
    <row r="682" ht="14.25" customHeight="1" s="101">
      <c r="A682" s="1" t="n"/>
      <c r="D682" s="2" t="n"/>
      <c r="E682" s="2" t="n"/>
      <c r="F682" s="1" t="n"/>
      <c r="G682" s="1" t="n"/>
      <c r="H682" s="3" t="n"/>
      <c r="I682" s="3" t="n"/>
    </row>
    <row r="683" ht="14.25" customHeight="1" s="101">
      <c r="A683" s="1" t="n"/>
      <c r="D683" s="2" t="n"/>
      <c r="E683" s="2" t="n"/>
      <c r="F683" s="1" t="n"/>
      <c r="G683" s="1" t="n"/>
      <c r="H683" s="3" t="n"/>
      <c r="I683" s="3" t="n"/>
    </row>
    <row r="684" ht="14.25" customHeight="1" s="101">
      <c r="A684" s="1" t="n"/>
      <c r="D684" s="2" t="n"/>
      <c r="E684" s="2" t="n"/>
      <c r="F684" s="1" t="n"/>
      <c r="G684" s="1" t="n"/>
      <c r="H684" s="3" t="n"/>
      <c r="I684" s="3" t="n"/>
    </row>
    <row r="685" ht="14.25" customHeight="1" s="101">
      <c r="A685" s="1" t="n"/>
      <c r="D685" s="2" t="n"/>
      <c r="E685" s="2" t="n"/>
      <c r="F685" s="1" t="n"/>
      <c r="G685" s="1" t="n"/>
      <c r="H685" s="3" t="n"/>
      <c r="I685" s="3" t="n"/>
    </row>
    <row r="686" ht="14.25" customHeight="1" s="101">
      <c r="A686" s="1" t="n"/>
      <c r="D686" s="2" t="n"/>
      <c r="E686" s="2" t="n"/>
      <c r="F686" s="1" t="n"/>
      <c r="G686" s="1" t="n"/>
      <c r="H686" s="3" t="n"/>
      <c r="I686" s="3" t="n"/>
    </row>
    <row r="687" ht="14.25" customHeight="1" s="101">
      <c r="A687" s="1" t="n"/>
      <c r="D687" s="2" t="n"/>
      <c r="E687" s="2" t="n"/>
      <c r="F687" s="1" t="n"/>
      <c r="G687" s="1" t="n"/>
      <c r="H687" s="3" t="n"/>
      <c r="I687" s="3" t="n"/>
    </row>
    <row r="688" ht="14.25" customHeight="1" s="101">
      <c r="A688" s="1" t="n"/>
      <c r="D688" s="2" t="n"/>
      <c r="E688" s="2" t="n"/>
      <c r="F688" s="1" t="n"/>
      <c r="G688" s="1" t="n"/>
      <c r="H688" s="3" t="n"/>
      <c r="I688" s="3" t="n"/>
    </row>
    <row r="689" ht="14.25" customHeight="1" s="101">
      <c r="A689" s="1" t="n"/>
      <c r="D689" s="2" t="n"/>
      <c r="E689" s="2" t="n"/>
      <c r="F689" s="1" t="n"/>
      <c r="G689" s="1" t="n"/>
      <c r="H689" s="3" t="n"/>
      <c r="I689" s="3" t="n"/>
    </row>
    <row r="690" ht="14.25" customHeight="1" s="101">
      <c r="A690" s="1" t="n"/>
      <c r="D690" s="2" t="n"/>
      <c r="E690" s="2" t="n"/>
      <c r="F690" s="1" t="n"/>
      <c r="G690" s="1" t="n"/>
      <c r="H690" s="3" t="n"/>
      <c r="I690" s="3" t="n"/>
    </row>
    <row r="691" ht="14.25" customHeight="1" s="101">
      <c r="A691" s="1" t="n"/>
      <c r="D691" s="2" t="n"/>
      <c r="E691" s="2" t="n"/>
      <c r="F691" s="1" t="n"/>
      <c r="G691" s="1" t="n"/>
      <c r="H691" s="3" t="n"/>
      <c r="I691" s="3" t="n"/>
    </row>
    <row r="692" ht="14.25" customHeight="1" s="101">
      <c r="A692" s="1" t="n"/>
      <c r="D692" s="2" t="n"/>
      <c r="E692" s="2" t="n"/>
      <c r="F692" s="1" t="n"/>
      <c r="G692" s="1" t="n"/>
      <c r="H692" s="3" t="n"/>
      <c r="I692" s="3" t="n"/>
    </row>
    <row r="693" ht="14.25" customHeight="1" s="101">
      <c r="A693" s="1" t="n"/>
      <c r="D693" s="2" t="n"/>
      <c r="E693" s="2" t="n"/>
      <c r="F693" s="1" t="n"/>
      <c r="G693" s="1" t="n"/>
      <c r="H693" s="3" t="n"/>
      <c r="I693" s="3" t="n"/>
    </row>
    <row r="694" ht="14.25" customHeight="1" s="101">
      <c r="A694" s="1" t="n"/>
      <c r="D694" s="2" t="n"/>
      <c r="E694" s="2" t="n"/>
      <c r="F694" s="1" t="n"/>
      <c r="G694" s="1" t="n"/>
      <c r="H694" s="3" t="n"/>
      <c r="I694" s="3" t="n"/>
    </row>
    <row r="695" ht="14.25" customHeight="1" s="101">
      <c r="A695" s="1" t="n"/>
      <c r="D695" s="2" t="n"/>
      <c r="E695" s="2" t="n"/>
      <c r="F695" s="1" t="n"/>
      <c r="G695" s="1" t="n"/>
      <c r="H695" s="3" t="n"/>
      <c r="I695" s="3" t="n"/>
    </row>
    <row r="696" ht="14.25" customHeight="1" s="101">
      <c r="A696" s="1" t="n"/>
      <c r="D696" s="2" t="n"/>
      <c r="E696" s="2" t="n"/>
      <c r="F696" s="1" t="n"/>
      <c r="G696" s="1" t="n"/>
      <c r="H696" s="3" t="n"/>
      <c r="I696" s="3" t="n"/>
    </row>
    <row r="697" ht="14.25" customHeight="1" s="101">
      <c r="A697" s="1" t="n"/>
      <c r="D697" s="2" t="n"/>
      <c r="E697" s="2" t="n"/>
      <c r="F697" s="1" t="n"/>
      <c r="G697" s="1" t="n"/>
      <c r="H697" s="3" t="n"/>
      <c r="I697" s="3" t="n"/>
    </row>
    <row r="698" ht="14.25" customHeight="1" s="101">
      <c r="A698" s="1" t="n"/>
      <c r="D698" s="2" t="n"/>
      <c r="E698" s="2" t="n"/>
      <c r="F698" s="1" t="n"/>
      <c r="G698" s="1" t="n"/>
      <c r="H698" s="3" t="n"/>
      <c r="I698" s="3" t="n"/>
    </row>
    <row r="699" ht="14.25" customHeight="1" s="101">
      <c r="A699" s="1" t="n"/>
      <c r="D699" s="2" t="n"/>
      <c r="E699" s="2" t="n"/>
      <c r="F699" s="1" t="n"/>
      <c r="G699" s="1" t="n"/>
      <c r="H699" s="3" t="n"/>
      <c r="I699" s="3" t="n"/>
    </row>
    <row r="700" ht="14.25" customHeight="1" s="101">
      <c r="A700" s="1" t="n"/>
      <c r="D700" s="2" t="n"/>
      <c r="E700" s="2" t="n"/>
      <c r="F700" s="1" t="n"/>
      <c r="G700" s="1" t="n"/>
      <c r="H700" s="3" t="n"/>
      <c r="I700" s="3" t="n"/>
    </row>
    <row r="701" ht="14.25" customHeight="1" s="101">
      <c r="A701" s="1" t="n"/>
      <c r="D701" s="2" t="n"/>
      <c r="E701" s="2" t="n"/>
      <c r="F701" s="1" t="n"/>
      <c r="G701" s="1" t="n"/>
      <c r="H701" s="3" t="n"/>
      <c r="I701" s="3" t="n"/>
    </row>
    <row r="702" ht="14.25" customHeight="1" s="101">
      <c r="A702" s="1" t="n"/>
      <c r="D702" s="2" t="n"/>
      <c r="E702" s="2" t="n"/>
      <c r="F702" s="1" t="n"/>
      <c r="G702" s="1" t="n"/>
      <c r="H702" s="3" t="n"/>
      <c r="I702" s="3" t="n"/>
    </row>
    <row r="703" ht="14.25" customHeight="1" s="101">
      <c r="A703" s="1" t="n"/>
      <c r="D703" s="2" t="n"/>
      <c r="E703" s="2" t="n"/>
      <c r="F703" s="1" t="n"/>
      <c r="G703" s="1" t="n"/>
      <c r="H703" s="3" t="n"/>
      <c r="I703" s="3" t="n"/>
    </row>
    <row r="704" ht="14.25" customHeight="1" s="101">
      <c r="A704" s="1" t="n"/>
      <c r="D704" s="2" t="n"/>
      <c r="E704" s="2" t="n"/>
      <c r="F704" s="1" t="n"/>
      <c r="G704" s="1" t="n"/>
      <c r="H704" s="3" t="n"/>
      <c r="I704" s="3" t="n"/>
    </row>
    <row r="705" ht="14.25" customHeight="1" s="101">
      <c r="A705" s="1" t="n"/>
      <c r="D705" s="2" t="n"/>
      <c r="E705" s="2" t="n"/>
      <c r="F705" s="1" t="n"/>
      <c r="G705" s="1" t="n"/>
      <c r="H705" s="3" t="n"/>
      <c r="I705" s="3" t="n"/>
    </row>
    <row r="706" ht="14.25" customHeight="1" s="101">
      <c r="A706" s="1" t="n"/>
      <c r="D706" s="2" t="n"/>
      <c r="E706" s="2" t="n"/>
      <c r="F706" s="1" t="n"/>
      <c r="G706" s="1" t="n"/>
      <c r="H706" s="3" t="n"/>
      <c r="I706" s="3" t="n"/>
    </row>
    <row r="707" ht="14.25" customHeight="1" s="101">
      <c r="A707" s="1" t="n"/>
      <c r="D707" s="2" t="n"/>
      <c r="E707" s="2" t="n"/>
      <c r="F707" s="1" t="n"/>
      <c r="G707" s="1" t="n"/>
      <c r="H707" s="3" t="n"/>
      <c r="I707" s="3" t="n"/>
    </row>
    <row r="708" ht="14.25" customHeight="1" s="101">
      <c r="A708" s="1" t="n"/>
      <c r="D708" s="2" t="n"/>
      <c r="E708" s="2" t="n"/>
      <c r="F708" s="1" t="n"/>
      <c r="G708" s="1" t="n"/>
      <c r="H708" s="3" t="n"/>
      <c r="I708" s="3" t="n"/>
    </row>
    <row r="709" ht="14.25" customHeight="1" s="101">
      <c r="A709" s="1" t="n"/>
      <c r="D709" s="2" t="n"/>
      <c r="E709" s="2" t="n"/>
      <c r="F709" s="1" t="n"/>
      <c r="G709" s="1" t="n"/>
      <c r="H709" s="3" t="n"/>
      <c r="I709" s="3" t="n"/>
    </row>
    <row r="710" ht="14.25" customHeight="1" s="101">
      <c r="A710" s="1" t="n"/>
      <c r="D710" s="2" t="n"/>
      <c r="E710" s="2" t="n"/>
      <c r="F710" s="1" t="n"/>
      <c r="G710" s="1" t="n"/>
      <c r="H710" s="3" t="n"/>
      <c r="I710" s="3" t="n"/>
    </row>
    <row r="711" ht="14.25" customHeight="1" s="101">
      <c r="A711" s="1" t="n"/>
      <c r="D711" s="2" t="n"/>
      <c r="E711" s="2" t="n"/>
      <c r="F711" s="1" t="n"/>
      <c r="G711" s="1" t="n"/>
      <c r="H711" s="3" t="n"/>
      <c r="I711" s="3" t="n"/>
    </row>
    <row r="712" ht="14.25" customHeight="1" s="101">
      <c r="A712" s="1" t="n"/>
      <c r="D712" s="2" t="n"/>
      <c r="E712" s="2" t="n"/>
      <c r="F712" s="1" t="n"/>
      <c r="G712" s="1" t="n"/>
      <c r="H712" s="3" t="n"/>
      <c r="I712" s="3" t="n"/>
    </row>
    <row r="713" ht="14.25" customHeight="1" s="101">
      <c r="A713" s="1" t="n"/>
      <c r="D713" s="2" t="n"/>
      <c r="E713" s="2" t="n"/>
      <c r="F713" s="1" t="n"/>
      <c r="G713" s="1" t="n"/>
      <c r="H713" s="3" t="n"/>
      <c r="I713" s="3" t="n"/>
    </row>
    <row r="714" ht="14.25" customHeight="1" s="101">
      <c r="A714" s="1" t="n"/>
      <c r="D714" s="2" t="n"/>
      <c r="E714" s="2" t="n"/>
      <c r="F714" s="1" t="n"/>
      <c r="G714" s="1" t="n"/>
      <c r="H714" s="3" t="n"/>
      <c r="I714" s="3" t="n"/>
    </row>
    <row r="715" ht="14.25" customHeight="1" s="101">
      <c r="A715" s="1" t="n"/>
      <c r="D715" s="2" t="n"/>
      <c r="E715" s="2" t="n"/>
      <c r="F715" s="1" t="n"/>
      <c r="G715" s="1" t="n"/>
      <c r="H715" s="3" t="n"/>
      <c r="I715" s="3" t="n"/>
    </row>
    <row r="716" ht="14.25" customHeight="1" s="101">
      <c r="A716" s="1" t="n"/>
      <c r="D716" s="2" t="n"/>
      <c r="E716" s="2" t="n"/>
      <c r="F716" s="1" t="n"/>
      <c r="G716" s="1" t="n"/>
      <c r="H716" s="3" t="n"/>
      <c r="I716" s="3" t="n"/>
    </row>
    <row r="717" ht="14.25" customHeight="1" s="101">
      <c r="A717" s="1" t="n"/>
      <c r="D717" s="2" t="n"/>
      <c r="E717" s="2" t="n"/>
      <c r="F717" s="1" t="n"/>
      <c r="G717" s="1" t="n"/>
      <c r="H717" s="3" t="n"/>
      <c r="I717" s="3" t="n"/>
    </row>
    <row r="718" ht="14.25" customHeight="1" s="101">
      <c r="A718" s="1" t="n"/>
      <c r="D718" s="2" t="n"/>
      <c r="E718" s="2" t="n"/>
      <c r="F718" s="1" t="n"/>
      <c r="G718" s="1" t="n"/>
      <c r="H718" s="3" t="n"/>
      <c r="I718" s="3" t="n"/>
    </row>
    <row r="719" ht="14.25" customHeight="1" s="101">
      <c r="A719" s="1" t="n"/>
      <c r="D719" s="2" t="n"/>
      <c r="E719" s="2" t="n"/>
      <c r="F719" s="1" t="n"/>
      <c r="G719" s="1" t="n"/>
      <c r="H719" s="3" t="n"/>
      <c r="I719" s="3" t="n"/>
    </row>
    <row r="720" ht="14.25" customHeight="1" s="101">
      <c r="A720" s="1" t="n"/>
      <c r="D720" s="2" t="n"/>
      <c r="E720" s="2" t="n"/>
      <c r="F720" s="1" t="n"/>
      <c r="G720" s="1" t="n"/>
      <c r="H720" s="3" t="n"/>
      <c r="I720" s="3" t="n"/>
    </row>
    <row r="721" ht="14.25" customHeight="1" s="101">
      <c r="A721" s="1" t="n"/>
      <c r="D721" s="2" t="n"/>
      <c r="E721" s="2" t="n"/>
      <c r="F721" s="1" t="n"/>
      <c r="G721" s="1" t="n"/>
      <c r="H721" s="3" t="n"/>
      <c r="I721" s="3" t="n"/>
    </row>
    <row r="722" ht="14.25" customHeight="1" s="101">
      <c r="A722" s="1" t="n"/>
      <c r="D722" s="2" t="n"/>
      <c r="E722" s="2" t="n"/>
      <c r="F722" s="1" t="n"/>
      <c r="G722" s="1" t="n"/>
      <c r="H722" s="3" t="n"/>
      <c r="I722" s="3" t="n"/>
    </row>
    <row r="723" ht="14.25" customHeight="1" s="101">
      <c r="A723" s="1" t="n"/>
      <c r="D723" s="2" t="n"/>
      <c r="E723" s="2" t="n"/>
      <c r="F723" s="1" t="n"/>
      <c r="G723" s="1" t="n"/>
      <c r="H723" s="3" t="n"/>
      <c r="I723" s="3" t="n"/>
    </row>
    <row r="724" ht="14.25" customHeight="1" s="101">
      <c r="A724" s="1" t="n"/>
      <c r="D724" s="2" t="n"/>
      <c r="E724" s="2" t="n"/>
      <c r="F724" s="1" t="n"/>
      <c r="G724" s="1" t="n"/>
      <c r="H724" s="3" t="n"/>
      <c r="I724" s="3" t="n"/>
    </row>
    <row r="725" ht="14.25" customHeight="1" s="101">
      <c r="A725" s="1" t="n"/>
      <c r="D725" s="2" t="n"/>
      <c r="E725" s="2" t="n"/>
      <c r="F725" s="1" t="n"/>
      <c r="G725" s="1" t="n"/>
      <c r="H725" s="3" t="n"/>
      <c r="I725" s="3" t="n"/>
    </row>
    <row r="726" ht="14.25" customHeight="1" s="101">
      <c r="A726" s="1" t="n"/>
      <c r="D726" s="2" t="n"/>
      <c r="E726" s="2" t="n"/>
      <c r="F726" s="1" t="n"/>
      <c r="G726" s="1" t="n"/>
      <c r="H726" s="3" t="n"/>
      <c r="I726" s="3" t="n"/>
    </row>
    <row r="727" ht="14.25" customHeight="1" s="101">
      <c r="A727" s="1" t="n"/>
      <c r="D727" s="2" t="n"/>
      <c r="E727" s="2" t="n"/>
      <c r="F727" s="1" t="n"/>
      <c r="G727" s="1" t="n"/>
      <c r="H727" s="3" t="n"/>
      <c r="I727" s="3" t="n"/>
    </row>
    <row r="728" ht="14.25" customHeight="1" s="101">
      <c r="A728" s="1" t="n"/>
      <c r="D728" s="2" t="n"/>
      <c r="E728" s="2" t="n"/>
      <c r="F728" s="1" t="n"/>
      <c r="G728" s="1" t="n"/>
      <c r="H728" s="3" t="n"/>
      <c r="I728" s="3" t="n"/>
    </row>
    <row r="729" ht="14.25" customHeight="1" s="101">
      <c r="A729" s="1" t="n"/>
      <c r="D729" s="2" t="n"/>
      <c r="E729" s="2" t="n"/>
      <c r="F729" s="1" t="n"/>
      <c r="G729" s="1" t="n"/>
      <c r="H729" s="3" t="n"/>
      <c r="I729" s="3" t="n"/>
    </row>
    <row r="730" ht="14.25" customHeight="1" s="101">
      <c r="A730" s="1" t="n"/>
      <c r="D730" s="2" t="n"/>
      <c r="E730" s="2" t="n"/>
      <c r="F730" s="1" t="n"/>
      <c r="G730" s="1" t="n"/>
      <c r="H730" s="3" t="n"/>
      <c r="I730" s="3" t="n"/>
    </row>
    <row r="731" ht="14.25" customHeight="1" s="101">
      <c r="A731" s="1" t="n"/>
      <c r="D731" s="2" t="n"/>
      <c r="E731" s="2" t="n"/>
      <c r="F731" s="1" t="n"/>
      <c r="G731" s="1" t="n"/>
      <c r="H731" s="3" t="n"/>
      <c r="I731" s="3" t="n"/>
    </row>
    <row r="732" ht="14.25" customHeight="1" s="101">
      <c r="A732" s="1" t="n"/>
      <c r="D732" s="2" t="n"/>
      <c r="E732" s="2" t="n"/>
      <c r="F732" s="1" t="n"/>
      <c r="G732" s="1" t="n"/>
      <c r="H732" s="3" t="n"/>
      <c r="I732" s="3" t="n"/>
    </row>
    <row r="733" ht="14.25" customHeight="1" s="101">
      <c r="A733" s="1" t="n"/>
      <c r="D733" s="2" t="n"/>
      <c r="E733" s="2" t="n"/>
      <c r="F733" s="1" t="n"/>
      <c r="G733" s="1" t="n"/>
      <c r="H733" s="3" t="n"/>
      <c r="I733" s="3" t="n"/>
    </row>
    <row r="734" ht="14.25" customHeight="1" s="101">
      <c r="A734" s="1" t="n"/>
      <c r="D734" s="2" t="n"/>
      <c r="E734" s="2" t="n"/>
      <c r="F734" s="1" t="n"/>
      <c r="G734" s="1" t="n"/>
      <c r="H734" s="3" t="n"/>
      <c r="I734" s="3" t="n"/>
    </row>
    <row r="735" ht="14.25" customHeight="1" s="101">
      <c r="A735" s="1" t="n"/>
      <c r="D735" s="2" t="n"/>
      <c r="E735" s="2" t="n"/>
      <c r="F735" s="1" t="n"/>
      <c r="G735" s="1" t="n"/>
      <c r="H735" s="3" t="n"/>
      <c r="I735" s="3" t="n"/>
    </row>
    <row r="736" ht="14.25" customHeight="1" s="101">
      <c r="A736" s="1" t="n"/>
      <c r="D736" s="2" t="n"/>
      <c r="E736" s="2" t="n"/>
      <c r="F736" s="1" t="n"/>
      <c r="G736" s="1" t="n"/>
      <c r="H736" s="3" t="n"/>
      <c r="I736" s="3" t="n"/>
    </row>
    <row r="737" ht="14.25" customHeight="1" s="101">
      <c r="A737" s="1" t="n"/>
      <c r="D737" s="2" t="n"/>
      <c r="E737" s="2" t="n"/>
      <c r="F737" s="1" t="n"/>
      <c r="G737" s="1" t="n"/>
      <c r="H737" s="3" t="n"/>
      <c r="I737" s="3" t="n"/>
    </row>
    <row r="738" ht="14.25" customHeight="1" s="101">
      <c r="A738" s="1" t="n"/>
      <c r="D738" s="2" t="n"/>
      <c r="E738" s="2" t="n"/>
      <c r="F738" s="1" t="n"/>
      <c r="G738" s="1" t="n"/>
      <c r="H738" s="3" t="n"/>
      <c r="I738" s="3" t="n"/>
    </row>
    <row r="739" ht="14.25" customHeight="1" s="101">
      <c r="A739" s="1" t="n"/>
      <c r="D739" s="2" t="n"/>
      <c r="E739" s="2" t="n"/>
      <c r="F739" s="1" t="n"/>
      <c r="G739" s="1" t="n"/>
      <c r="H739" s="3" t="n"/>
      <c r="I739" s="3" t="n"/>
    </row>
    <row r="740" ht="14.25" customHeight="1" s="101">
      <c r="A740" s="1" t="n"/>
      <c r="D740" s="2" t="n"/>
      <c r="E740" s="2" t="n"/>
      <c r="F740" s="1" t="n"/>
      <c r="G740" s="1" t="n"/>
      <c r="H740" s="3" t="n"/>
      <c r="I740" s="3" t="n"/>
    </row>
    <row r="741" ht="14.25" customHeight="1" s="101">
      <c r="A741" s="1" t="n"/>
      <c r="D741" s="2" t="n"/>
      <c r="E741" s="2" t="n"/>
      <c r="F741" s="1" t="n"/>
      <c r="G741" s="1" t="n"/>
      <c r="H741" s="3" t="n"/>
      <c r="I741" s="3" t="n"/>
    </row>
    <row r="742" ht="14.25" customHeight="1" s="101">
      <c r="A742" s="1" t="n"/>
      <c r="D742" s="2" t="n"/>
      <c r="E742" s="2" t="n"/>
      <c r="F742" s="1" t="n"/>
      <c r="G742" s="1" t="n"/>
      <c r="H742" s="3" t="n"/>
      <c r="I742" s="3" t="n"/>
    </row>
    <row r="743" ht="14.25" customHeight="1" s="101">
      <c r="A743" s="1" t="n"/>
      <c r="D743" s="2" t="n"/>
      <c r="E743" s="2" t="n"/>
      <c r="F743" s="1" t="n"/>
      <c r="G743" s="1" t="n"/>
      <c r="H743" s="3" t="n"/>
      <c r="I743" s="3" t="n"/>
    </row>
    <row r="744" ht="14.25" customHeight="1" s="101">
      <c r="A744" s="1" t="n"/>
      <c r="D744" s="2" t="n"/>
      <c r="E744" s="2" t="n"/>
      <c r="F744" s="1" t="n"/>
      <c r="G744" s="1" t="n"/>
      <c r="H744" s="3" t="n"/>
      <c r="I744" s="3" t="n"/>
    </row>
    <row r="745" ht="14.25" customHeight="1" s="101">
      <c r="A745" s="1" t="n"/>
      <c r="D745" s="2" t="n"/>
      <c r="E745" s="2" t="n"/>
      <c r="F745" s="1" t="n"/>
      <c r="G745" s="1" t="n"/>
      <c r="H745" s="3" t="n"/>
      <c r="I745" s="3" t="n"/>
    </row>
    <row r="746" ht="14.25" customHeight="1" s="101">
      <c r="A746" s="1" t="n"/>
      <c r="D746" s="2" t="n"/>
      <c r="E746" s="2" t="n"/>
      <c r="F746" s="1" t="n"/>
      <c r="G746" s="1" t="n"/>
      <c r="H746" s="3" t="n"/>
      <c r="I746" s="3" t="n"/>
    </row>
    <row r="747" ht="14.25" customHeight="1" s="101">
      <c r="A747" s="1" t="n"/>
      <c r="D747" s="2" t="n"/>
      <c r="E747" s="2" t="n"/>
      <c r="F747" s="1" t="n"/>
      <c r="G747" s="1" t="n"/>
      <c r="H747" s="3" t="n"/>
      <c r="I747" s="3" t="n"/>
    </row>
    <row r="748" ht="14.25" customHeight="1" s="101">
      <c r="A748" s="1" t="n"/>
      <c r="D748" s="2" t="n"/>
      <c r="E748" s="2" t="n"/>
      <c r="F748" s="1" t="n"/>
      <c r="G748" s="1" t="n"/>
      <c r="H748" s="3" t="n"/>
      <c r="I748" s="3" t="n"/>
    </row>
    <row r="749" ht="14.25" customHeight="1" s="101">
      <c r="A749" s="1" t="n"/>
      <c r="D749" s="2" t="n"/>
      <c r="E749" s="2" t="n"/>
      <c r="F749" s="1" t="n"/>
      <c r="G749" s="1" t="n"/>
      <c r="H749" s="3" t="n"/>
      <c r="I749" s="3" t="n"/>
    </row>
    <row r="750" ht="14.25" customHeight="1" s="101">
      <c r="A750" s="1" t="n"/>
      <c r="D750" s="2" t="n"/>
      <c r="E750" s="2" t="n"/>
      <c r="F750" s="1" t="n"/>
      <c r="G750" s="1" t="n"/>
      <c r="H750" s="3" t="n"/>
      <c r="I750" s="3" t="n"/>
    </row>
    <row r="751" ht="14.25" customHeight="1" s="101">
      <c r="A751" s="1" t="n"/>
      <c r="D751" s="2" t="n"/>
      <c r="E751" s="2" t="n"/>
      <c r="F751" s="1" t="n"/>
      <c r="G751" s="1" t="n"/>
      <c r="H751" s="3" t="n"/>
      <c r="I751" s="3" t="n"/>
    </row>
    <row r="752" ht="14.25" customHeight="1" s="101">
      <c r="A752" s="1" t="n"/>
      <c r="D752" s="2" t="n"/>
      <c r="E752" s="2" t="n"/>
      <c r="F752" s="1" t="n"/>
      <c r="G752" s="1" t="n"/>
      <c r="H752" s="3" t="n"/>
      <c r="I752" s="3" t="n"/>
    </row>
    <row r="753" ht="14.25" customHeight="1" s="101">
      <c r="A753" s="1" t="n"/>
      <c r="D753" s="2" t="n"/>
      <c r="E753" s="2" t="n"/>
      <c r="F753" s="1" t="n"/>
      <c r="G753" s="1" t="n"/>
      <c r="H753" s="3" t="n"/>
      <c r="I753" s="3" t="n"/>
    </row>
    <row r="754" ht="14.25" customHeight="1" s="101">
      <c r="A754" s="1" t="n"/>
      <c r="D754" s="2" t="n"/>
      <c r="E754" s="2" t="n"/>
      <c r="F754" s="1" t="n"/>
      <c r="G754" s="1" t="n"/>
      <c r="H754" s="3" t="n"/>
      <c r="I754" s="3" t="n"/>
    </row>
    <row r="755" ht="14.25" customHeight="1" s="101">
      <c r="A755" s="1" t="n"/>
      <c r="D755" s="2" t="n"/>
      <c r="E755" s="2" t="n"/>
      <c r="F755" s="1" t="n"/>
      <c r="G755" s="1" t="n"/>
      <c r="H755" s="3" t="n"/>
      <c r="I755" s="3" t="n"/>
    </row>
    <row r="756" ht="14.25" customHeight="1" s="101">
      <c r="A756" s="1" t="n"/>
      <c r="D756" s="2" t="n"/>
      <c r="E756" s="2" t="n"/>
      <c r="F756" s="1" t="n"/>
      <c r="G756" s="1" t="n"/>
      <c r="H756" s="3" t="n"/>
      <c r="I756" s="3" t="n"/>
    </row>
    <row r="757" ht="14.25" customHeight="1" s="101">
      <c r="A757" s="1" t="n"/>
      <c r="D757" s="2" t="n"/>
      <c r="E757" s="2" t="n"/>
      <c r="F757" s="1" t="n"/>
      <c r="G757" s="1" t="n"/>
      <c r="H757" s="3" t="n"/>
      <c r="I757" s="3" t="n"/>
    </row>
    <row r="758" ht="14.25" customHeight="1" s="101">
      <c r="A758" s="1" t="n"/>
      <c r="D758" s="2" t="n"/>
      <c r="E758" s="2" t="n"/>
      <c r="F758" s="1" t="n"/>
      <c r="G758" s="1" t="n"/>
      <c r="H758" s="3" t="n"/>
      <c r="I758" s="3" t="n"/>
    </row>
    <row r="759" ht="14.25" customHeight="1" s="101">
      <c r="A759" s="1" t="n"/>
      <c r="D759" s="2" t="n"/>
      <c r="E759" s="2" t="n"/>
      <c r="F759" s="1" t="n"/>
      <c r="G759" s="1" t="n"/>
      <c r="H759" s="3" t="n"/>
      <c r="I759" s="3" t="n"/>
    </row>
    <row r="760" ht="14.25" customHeight="1" s="101">
      <c r="A760" s="1" t="n"/>
      <c r="D760" s="2" t="n"/>
      <c r="E760" s="2" t="n"/>
      <c r="F760" s="1" t="n"/>
      <c r="G760" s="1" t="n"/>
      <c r="H760" s="3" t="n"/>
      <c r="I760" s="3" t="n"/>
    </row>
    <row r="761" ht="14.25" customHeight="1" s="101">
      <c r="A761" s="1" t="n"/>
      <c r="D761" s="2" t="n"/>
      <c r="E761" s="2" t="n"/>
      <c r="F761" s="1" t="n"/>
      <c r="G761" s="1" t="n"/>
      <c r="H761" s="3" t="n"/>
      <c r="I761" s="3" t="n"/>
    </row>
    <row r="762" ht="14.25" customHeight="1" s="101">
      <c r="A762" s="1" t="n"/>
      <c r="D762" s="2" t="n"/>
      <c r="E762" s="2" t="n"/>
      <c r="F762" s="1" t="n"/>
      <c r="G762" s="1" t="n"/>
      <c r="H762" s="3" t="n"/>
      <c r="I762" s="3" t="n"/>
    </row>
    <row r="763" ht="14.25" customHeight="1" s="101">
      <c r="A763" s="1" t="n"/>
      <c r="D763" s="2" t="n"/>
      <c r="E763" s="2" t="n"/>
      <c r="F763" s="1" t="n"/>
      <c r="G763" s="1" t="n"/>
      <c r="H763" s="3" t="n"/>
      <c r="I763" s="3" t="n"/>
    </row>
    <row r="764" ht="14.25" customHeight="1" s="101">
      <c r="A764" s="1" t="n"/>
      <c r="D764" s="2" t="n"/>
      <c r="E764" s="2" t="n"/>
      <c r="F764" s="1" t="n"/>
      <c r="G764" s="1" t="n"/>
      <c r="H764" s="3" t="n"/>
      <c r="I764" s="3" t="n"/>
    </row>
    <row r="765" ht="14.25" customHeight="1" s="101">
      <c r="A765" s="1" t="n"/>
      <c r="D765" s="2" t="n"/>
      <c r="E765" s="2" t="n"/>
      <c r="F765" s="1" t="n"/>
      <c r="G765" s="1" t="n"/>
      <c r="H765" s="3" t="n"/>
      <c r="I765" s="3" t="n"/>
    </row>
    <row r="766" ht="14.25" customHeight="1" s="101">
      <c r="A766" s="1" t="n"/>
      <c r="D766" s="2" t="n"/>
      <c r="E766" s="2" t="n"/>
      <c r="F766" s="1" t="n"/>
      <c r="G766" s="1" t="n"/>
      <c r="H766" s="3" t="n"/>
      <c r="I766" s="3" t="n"/>
    </row>
    <row r="767" ht="14.25" customHeight="1" s="101">
      <c r="A767" s="1" t="n"/>
      <c r="D767" s="2" t="n"/>
      <c r="E767" s="2" t="n"/>
      <c r="F767" s="1" t="n"/>
      <c r="G767" s="1" t="n"/>
      <c r="H767" s="3" t="n"/>
      <c r="I767" s="3" t="n"/>
    </row>
    <row r="768" ht="14.25" customHeight="1" s="101">
      <c r="A768" s="1" t="n"/>
      <c r="D768" s="2" t="n"/>
      <c r="E768" s="2" t="n"/>
      <c r="F768" s="1" t="n"/>
      <c r="G768" s="1" t="n"/>
      <c r="H768" s="3" t="n"/>
      <c r="I768" s="3" t="n"/>
    </row>
    <row r="769" ht="14.25" customHeight="1" s="101">
      <c r="A769" s="1" t="n"/>
      <c r="D769" s="2" t="n"/>
      <c r="E769" s="2" t="n"/>
      <c r="F769" s="1" t="n"/>
      <c r="G769" s="1" t="n"/>
      <c r="H769" s="3" t="n"/>
      <c r="I769" s="3" t="n"/>
    </row>
    <row r="770" ht="14.25" customHeight="1" s="101">
      <c r="A770" s="1" t="n"/>
      <c r="D770" s="2" t="n"/>
      <c r="E770" s="2" t="n"/>
      <c r="F770" s="1" t="n"/>
      <c r="G770" s="1" t="n"/>
      <c r="H770" s="3" t="n"/>
      <c r="I770" s="3" t="n"/>
    </row>
    <row r="771" ht="14.25" customHeight="1" s="101">
      <c r="A771" s="1" t="n"/>
      <c r="D771" s="2" t="n"/>
      <c r="E771" s="2" t="n"/>
      <c r="F771" s="1" t="n"/>
      <c r="G771" s="1" t="n"/>
      <c r="H771" s="3" t="n"/>
      <c r="I771" s="3" t="n"/>
    </row>
    <row r="772" ht="14.25" customHeight="1" s="101">
      <c r="A772" s="1" t="n"/>
      <c r="D772" s="2" t="n"/>
      <c r="E772" s="2" t="n"/>
      <c r="F772" s="1" t="n"/>
      <c r="G772" s="1" t="n"/>
      <c r="H772" s="3" t="n"/>
      <c r="I772" s="3" t="n"/>
    </row>
    <row r="773" ht="14.25" customHeight="1" s="101">
      <c r="A773" s="1" t="n"/>
      <c r="D773" s="2" t="n"/>
      <c r="E773" s="2" t="n"/>
      <c r="F773" s="1" t="n"/>
      <c r="G773" s="1" t="n"/>
      <c r="H773" s="3" t="n"/>
      <c r="I773" s="3" t="n"/>
    </row>
    <row r="774" ht="14.25" customHeight="1" s="101">
      <c r="A774" s="1" t="n"/>
      <c r="D774" s="2" t="n"/>
      <c r="E774" s="2" t="n"/>
      <c r="F774" s="1" t="n"/>
      <c r="G774" s="1" t="n"/>
      <c r="H774" s="3" t="n"/>
      <c r="I774" s="3" t="n"/>
    </row>
    <row r="775" ht="14.25" customHeight="1" s="101">
      <c r="A775" s="1" t="n"/>
      <c r="D775" s="2" t="n"/>
      <c r="E775" s="2" t="n"/>
      <c r="F775" s="1" t="n"/>
      <c r="G775" s="1" t="n"/>
      <c r="H775" s="3" t="n"/>
      <c r="I775" s="3" t="n"/>
    </row>
    <row r="776" ht="14.25" customHeight="1" s="101">
      <c r="A776" s="1" t="n"/>
      <c r="D776" s="2" t="n"/>
      <c r="E776" s="2" t="n"/>
      <c r="F776" s="1" t="n"/>
      <c r="G776" s="1" t="n"/>
      <c r="H776" s="3" t="n"/>
      <c r="I776" s="3" t="n"/>
    </row>
    <row r="777" ht="14.25" customHeight="1" s="101">
      <c r="A777" s="1" t="n"/>
      <c r="D777" s="2" t="n"/>
      <c r="E777" s="2" t="n"/>
      <c r="F777" s="1" t="n"/>
      <c r="G777" s="1" t="n"/>
      <c r="H777" s="3" t="n"/>
      <c r="I777" s="3" t="n"/>
    </row>
    <row r="778" ht="14.25" customHeight="1" s="101">
      <c r="A778" s="1" t="n"/>
      <c r="D778" s="2" t="n"/>
      <c r="E778" s="2" t="n"/>
      <c r="F778" s="1" t="n"/>
      <c r="G778" s="1" t="n"/>
      <c r="H778" s="3" t="n"/>
      <c r="I778" s="3" t="n"/>
    </row>
    <row r="779" ht="14.25" customHeight="1" s="101">
      <c r="A779" s="1" t="n"/>
      <c r="D779" s="2" t="n"/>
      <c r="E779" s="2" t="n"/>
      <c r="F779" s="1" t="n"/>
      <c r="G779" s="1" t="n"/>
      <c r="H779" s="3" t="n"/>
      <c r="I779" s="3" t="n"/>
    </row>
    <row r="780" ht="14.25" customHeight="1" s="101">
      <c r="A780" s="1" t="n"/>
      <c r="D780" s="2" t="n"/>
      <c r="E780" s="2" t="n"/>
      <c r="F780" s="1" t="n"/>
      <c r="G780" s="1" t="n"/>
      <c r="H780" s="3" t="n"/>
      <c r="I780" s="3" t="n"/>
    </row>
    <row r="781" ht="14.25" customHeight="1" s="101">
      <c r="A781" s="1" t="n"/>
      <c r="D781" s="2" t="n"/>
      <c r="E781" s="2" t="n"/>
      <c r="F781" s="1" t="n"/>
      <c r="G781" s="1" t="n"/>
      <c r="H781" s="3" t="n"/>
      <c r="I781" s="3" t="n"/>
    </row>
    <row r="782" ht="14.25" customHeight="1" s="101">
      <c r="A782" s="1" t="n"/>
      <c r="D782" s="2" t="n"/>
      <c r="E782" s="2" t="n"/>
      <c r="F782" s="1" t="n"/>
      <c r="G782" s="1" t="n"/>
      <c r="H782" s="3" t="n"/>
      <c r="I782" s="3" t="n"/>
    </row>
    <row r="783" ht="14.25" customHeight="1" s="101">
      <c r="A783" s="1" t="n"/>
      <c r="D783" s="2" t="n"/>
      <c r="E783" s="2" t="n"/>
      <c r="F783" s="1" t="n"/>
      <c r="G783" s="1" t="n"/>
      <c r="H783" s="3" t="n"/>
      <c r="I783" s="3" t="n"/>
    </row>
    <row r="784" ht="14.25" customHeight="1" s="101">
      <c r="A784" s="1" t="n"/>
      <c r="D784" s="2" t="n"/>
      <c r="E784" s="2" t="n"/>
      <c r="F784" s="1" t="n"/>
      <c r="G784" s="1" t="n"/>
      <c r="H784" s="3" t="n"/>
      <c r="I784" s="3" t="n"/>
    </row>
    <row r="785" ht="14.25" customHeight="1" s="101">
      <c r="A785" s="1" t="n"/>
      <c r="D785" s="2" t="n"/>
      <c r="E785" s="2" t="n"/>
      <c r="F785" s="1" t="n"/>
      <c r="G785" s="1" t="n"/>
      <c r="H785" s="3" t="n"/>
      <c r="I785" s="3" t="n"/>
    </row>
    <row r="786" ht="14.25" customHeight="1" s="101">
      <c r="A786" s="1" t="n"/>
      <c r="D786" s="2" t="n"/>
      <c r="E786" s="2" t="n"/>
      <c r="F786" s="1" t="n"/>
      <c r="G786" s="1" t="n"/>
      <c r="H786" s="3" t="n"/>
      <c r="I786" s="3" t="n"/>
    </row>
    <row r="787" ht="14.25" customHeight="1" s="101">
      <c r="A787" s="1" t="n"/>
      <c r="D787" s="2" t="n"/>
      <c r="E787" s="2" t="n"/>
      <c r="F787" s="1" t="n"/>
      <c r="G787" s="1" t="n"/>
      <c r="H787" s="3" t="n"/>
      <c r="I787" s="3" t="n"/>
    </row>
    <row r="788" ht="14.25" customHeight="1" s="101">
      <c r="A788" s="1" t="n"/>
      <c r="D788" s="2" t="n"/>
      <c r="E788" s="2" t="n"/>
      <c r="F788" s="1" t="n"/>
      <c r="G788" s="1" t="n"/>
      <c r="H788" s="3" t="n"/>
      <c r="I788" s="3" t="n"/>
    </row>
    <row r="789" ht="14.25" customHeight="1" s="101">
      <c r="A789" s="1" t="n"/>
      <c r="D789" s="2" t="n"/>
      <c r="E789" s="2" t="n"/>
      <c r="F789" s="1" t="n"/>
      <c r="G789" s="1" t="n"/>
      <c r="H789" s="3" t="n"/>
      <c r="I789" s="3" t="n"/>
    </row>
    <row r="790" ht="14.25" customHeight="1" s="101">
      <c r="A790" s="1" t="n"/>
      <c r="D790" s="2" t="n"/>
      <c r="E790" s="2" t="n"/>
      <c r="F790" s="1" t="n"/>
      <c r="G790" s="1" t="n"/>
      <c r="H790" s="3" t="n"/>
      <c r="I790" s="3" t="n"/>
    </row>
    <row r="791" ht="14.25" customHeight="1" s="101">
      <c r="A791" s="1" t="n"/>
      <c r="D791" s="2" t="n"/>
      <c r="E791" s="2" t="n"/>
      <c r="F791" s="1" t="n"/>
      <c r="G791" s="1" t="n"/>
      <c r="H791" s="3" t="n"/>
      <c r="I791" s="3" t="n"/>
    </row>
    <row r="792" ht="14.25" customHeight="1" s="101">
      <c r="A792" s="1" t="n"/>
      <c r="D792" s="2" t="n"/>
      <c r="E792" s="2" t="n"/>
      <c r="F792" s="1" t="n"/>
      <c r="G792" s="1" t="n"/>
      <c r="H792" s="3" t="n"/>
      <c r="I792" s="3" t="n"/>
    </row>
    <row r="793" ht="14.25" customHeight="1" s="101">
      <c r="A793" s="1" t="n"/>
      <c r="D793" s="2" t="n"/>
      <c r="E793" s="2" t="n"/>
      <c r="F793" s="1" t="n"/>
      <c r="G793" s="1" t="n"/>
      <c r="H793" s="3" t="n"/>
      <c r="I793" s="3" t="n"/>
    </row>
    <row r="794" ht="14.25" customHeight="1" s="101">
      <c r="A794" s="1" t="n"/>
      <c r="D794" s="2" t="n"/>
      <c r="E794" s="2" t="n"/>
      <c r="F794" s="1" t="n"/>
      <c r="G794" s="1" t="n"/>
      <c r="H794" s="3" t="n"/>
      <c r="I794" s="3" t="n"/>
    </row>
    <row r="795" ht="14.25" customHeight="1" s="101">
      <c r="A795" s="1" t="n"/>
      <c r="D795" s="2" t="n"/>
      <c r="E795" s="2" t="n"/>
      <c r="F795" s="1" t="n"/>
      <c r="G795" s="1" t="n"/>
      <c r="H795" s="3" t="n"/>
      <c r="I795" s="3" t="n"/>
    </row>
    <row r="796" ht="14.25" customHeight="1" s="101">
      <c r="A796" s="1" t="n"/>
      <c r="D796" s="2" t="n"/>
      <c r="E796" s="2" t="n"/>
      <c r="F796" s="1" t="n"/>
      <c r="G796" s="1" t="n"/>
      <c r="H796" s="3" t="n"/>
      <c r="I796" s="3" t="n"/>
    </row>
    <row r="797" ht="14.25" customHeight="1" s="101">
      <c r="A797" s="1" t="n"/>
      <c r="D797" s="2" t="n"/>
      <c r="E797" s="2" t="n"/>
      <c r="F797" s="1" t="n"/>
      <c r="G797" s="1" t="n"/>
      <c r="H797" s="3" t="n"/>
      <c r="I797" s="3" t="n"/>
    </row>
    <row r="798" ht="14.25" customHeight="1" s="101">
      <c r="A798" s="1" t="n"/>
      <c r="D798" s="2" t="n"/>
      <c r="E798" s="2" t="n"/>
      <c r="F798" s="1" t="n"/>
      <c r="G798" s="1" t="n"/>
      <c r="H798" s="3" t="n"/>
      <c r="I798" s="3" t="n"/>
    </row>
    <row r="799" ht="14.25" customHeight="1" s="101">
      <c r="A799" s="1" t="n"/>
      <c r="D799" s="2" t="n"/>
      <c r="E799" s="2" t="n"/>
      <c r="F799" s="1" t="n"/>
      <c r="G799" s="1" t="n"/>
      <c r="H799" s="3" t="n"/>
      <c r="I799" s="3" t="n"/>
    </row>
    <row r="800" ht="14.25" customHeight="1" s="101">
      <c r="A800" s="1" t="n"/>
      <c r="D800" s="2" t="n"/>
      <c r="E800" s="2" t="n"/>
      <c r="F800" s="1" t="n"/>
      <c r="G800" s="1" t="n"/>
      <c r="H800" s="3" t="n"/>
      <c r="I800" s="3" t="n"/>
    </row>
    <row r="801" ht="14.25" customHeight="1" s="101">
      <c r="A801" s="1" t="n"/>
      <c r="D801" s="2" t="n"/>
      <c r="E801" s="2" t="n"/>
      <c r="F801" s="1" t="n"/>
      <c r="G801" s="1" t="n"/>
      <c r="H801" s="3" t="n"/>
      <c r="I801" s="3" t="n"/>
    </row>
    <row r="802" ht="14.25" customHeight="1" s="101">
      <c r="A802" s="1" t="n"/>
      <c r="D802" s="2" t="n"/>
      <c r="E802" s="2" t="n"/>
      <c r="F802" s="1" t="n"/>
      <c r="G802" s="1" t="n"/>
      <c r="H802" s="3" t="n"/>
      <c r="I802" s="3" t="n"/>
    </row>
    <row r="803" ht="14.25" customHeight="1" s="101">
      <c r="A803" s="1" t="n"/>
      <c r="D803" s="2" t="n"/>
      <c r="E803" s="2" t="n"/>
      <c r="F803" s="1" t="n"/>
      <c r="G803" s="1" t="n"/>
      <c r="H803" s="3" t="n"/>
      <c r="I803" s="3" t="n"/>
    </row>
    <row r="804" ht="14.25" customHeight="1" s="101">
      <c r="A804" s="1" t="n"/>
      <c r="D804" s="2" t="n"/>
      <c r="E804" s="2" t="n"/>
      <c r="F804" s="1" t="n"/>
      <c r="G804" s="1" t="n"/>
      <c r="H804" s="3" t="n"/>
      <c r="I804" s="3" t="n"/>
    </row>
    <row r="805" ht="14.25" customHeight="1" s="101">
      <c r="A805" s="1" t="n"/>
      <c r="D805" s="2" t="n"/>
      <c r="E805" s="2" t="n"/>
      <c r="F805" s="1" t="n"/>
      <c r="G805" s="1" t="n"/>
      <c r="H805" s="3" t="n"/>
      <c r="I805" s="3" t="n"/>
    </row>
    <row r="806" ht="14.25" customHeight="1" s="101">
      <c r="A806" s="1" t="n"/>
      <c r="D806" s="2" t="n"/>
      <c r="E806" s="2" t="n"/>
      <c r="F806" s="1" t="n"/>
      <c r="G806" s="1" t="n"/>
      <c r="H806" s="3" t="n"/>
      <c r="I806" s="3" t="n"/>
    </row>
    <row r="807" ht="14.25" customHeight="1" s="101">
      <c r="A807" s="1" t="n"/>
      <c r="D807" s="2" t="n"/>
      <c r="E807" s="2" t="n"/>
      <c r="F807" s="1" t="n"/>
      <c r="G807" s="1" t="n"/>
      <c r="H807" s="3" t="n"/>
      <c r="I807" s="3" t="n"/>
    </row>
    <row r="808" ht="14.25" customHeight="1" s="101">
      <c r="A808" s="1" t="n"/>
      <c r="D808" s="2" t="n"/>
      <c r="E808" s="2" t="n"/>
      <c r="F808" s="1" t="n"/>
      <c r="G808" s="1" t="n"/>
      <c r="H808" s="3" t="n"/>
      <c r="I808" s="3" t="n"/>
    </row>
    <row r="809" ht="14.25" customHeight="1" s="101">
      <c r="A809" s="1" t="n"/>
      <c r="D809" s="2" t="n"/>
      <c r="E809" s="2" t="n"/>
      <c r="F809" s="1" t="n"/>
      <c r="G809" s="1" t="n"/>
      <c r="H809" s="3" t="n"/>
      <c r="I809" s="3" t="n"/>
    </row>
    <row r="810" ht="14.25" customHeight="1" s="101">
      <c r="A810" s="1" t="n"/>
      <c r="D810" s="2" t="n"/>
      <c r="E810" s="2" t="n"/>
      <c r="F810" s="1" t="n"/>
      <c r="G810" s="1" t="n"/>
      <c r="H810" s="3" t="n"/>
      <c r="I810" s="3" t="n"/>
    </row>
    <row r="811" ht="14.25" customHeight="1" s="101">
      <c r="A811" s="1" t="n"/>
      <c r="D811" s="2" t="n"/>
      <c r="E811" s="2" t="n"/>
      <c r="F811" s="1" t="n"/>
      <c r="G811" s="1" t="n"/>
      <c r="H811" s="3" t="n"/>
      <c r="I811" s="3" t="n"/>
    </row>
    <row r="812" ht="14.25" customHeight="1" s="101">
      <c r="A812" s="1" t="n"/>
      <c r="D812" s="2" t="n"/>
      <c r="E812" s="2" t="n"/>
      <c r="F812" s="1" t="n"/>
      <c r="G812" s="1" t="n"/>
      <c r="H812" s="3" t="n"/>
      <c r="I812" s="3" t="n"/>
    </row>
    <row r="813" ht="14.25" customHeight="1" s="101">
      <c r="A813" s="1" t="n"/>
      <c r="D813" s="2" t="n"/>
      <c r="E813" s="2" t="n"/>
      <c r="F813" s="1" t="n"/>
      <c r="G813" s="1" t="n"/>
      <c r="H813" s="3" t="n"/>
      <c r="I813" s="3" t="n"/>
    </row>
    <row r="814" ht="14.25" customHeight="1" s="101">
      <c r="A814" s="1" t="n"/>
      <c r="D814" s="2" t="n"/>
      <c r="E814" s="2" t="n"/>
      <c r="F814" s="1" t="n"/>
      <c r="G814" s="1" t="n"/>
      <c r="H814" s="3" t="n"/>
      <c r="I814" s="3" t="n"/>
    </row>
    <row r="815" ht="14.25" customHeight="1" s="101">
      <c r="A815" s="1" t="n"/>
      <c r="D815" s="2" t="n"/>
      <c r="E815" s="2" t="n"/>
      <c r="F815" s="1" t="n"/>
      <c r="G815" s="1" t="n"/>
      <c r="H815" s="3" t="n"/>
      <c r="I815" s="3" t="n"/>
    </row>
    <row r="816" ht="14.25" customHeight="1" s="101">
      <c r="A816" s="1" t="n"/>
      <c r="D816" s="2" t="n"/>
      <c r="E816" s="2" t="n"/>
      <c r="F816" s="1" t="n"/>
      <c r="G816" s="1" t="n"/>
      <c r="H816" s="3" t="n"/>
      <c r="I816" s="3" t="n"/>
    </row>
    <row r="817" ht="14.25" customHeight="1" s="101">
      <c r="A817" s="1" t="n"/>
      <c r="D817" s="2" t="n"/>
      <c r="E817" s="2" t="n"/>
      <c r="F817" s="1" t="n"/>
      <c r="G817" s="1" t="n"/>
      <c r="H817" s="3" t="n"/>
      <c r="I817" s="3" t="n"/>
    </row>
    <row r="818" ht="14.25" customHeight="1" s="101">
      <c r="A818" s="1" t="n"/>
      <c r="D818" s="2" t="n"/>
      <c r="E818" s="2" t="n"/>
      <c r="F818" s="1" t="n"/>
      <c r="G818" s="1" t="n"/>
      <c r="H818" s="3" t="n"/>
      <c r="I818" s="3" t="n"/>
    </row>
    <row r="819" ht="14.25" customHeight="1" s="101">
      <c r="A819" s="1" t="n"/>
      <c r="D819" s="2" t="n"/>
      <c r="E819" s="2" t="n"/>
      <c r="F819" s="1" t="n"/>
      <c r="G819" s="1" t="n"/>
      <c r="H819" s="3" t="n"/>
      <c r="I819" s="3" t="n"/>
    </row>
    <row r="820" ht="14.25" customHeight="1" s="101">
      <c r="A820" s="1" t="n"/>
      <c r="D820" s="2" t="n"/>
      <c r="E820" s="2" t="n"/>
      <c r="F820" s="1" t="n"/>
      <c r="G820" s="1" t="n"/>
      <c r="H820" s="3" t="n"/>
      <c r="I820" s="3" t="n"/>
    </row>
    <row r="821" ht="14.25" customHeight="1" s="101">
      <c r="A821" s="1" t="n"/>
      <c r="D821" s="2" t="n"/>
      <c r="E821" s="2" t="n"/>
      <c r="F821" s="1" t="n"/>
      <c r="G821" s="1" t="n"/>
      <c r="H821" s="3" t="n"/>
      <c r="I821" s="3" t="n"/>
    </row>
    <row r="822" ht="14.25" customHeight="1" s="101">
      <c r="A822" s="1" t="n"/>
      <c r="D822" s="2" t="n"/>
      <c r="E822" s="2" t="n"/>
      <c r="F822" s="1" t="n"/>
      <c r="G822" s="1" t="n"/>
      <c r="H822" s="3" t="n"/>
      <c r="I822" s="3" t="n"/>
    </row>
    <row r="823" ht="14.25" customHeight="1" s="101">
      <c r="A823" s="1" t="n"/>
      <c r="D823" s="2" t="n"/>
      <c r="E823" s="2" t="n"/>
      <c r="F823" s="1" t="n"/>
      <c r="G823" s="1" t="n"/>
      <c r="H823" s="3" t="n"/>
      <c r="I823" s="3" t="n"/>
    </row>
    <row r="824" ht="14.25" customHeight="1" s="101">
      <c r="A824" s="1" t="n"/>
      <c r="D824" s="2" t="n"/>
      <c r="E824" s="2" t="n"/>
      <c r="F824" s="1" t="n"/>
      <c r="G824" s="1" t="n"/>
      <c r="H824" s="3" t="n"/>
      <c r="I824" s="3" t="n"/>
    </row>
    <row r="825" ht="14.25" customHeight="1" s="101">
      <c r="A825" s="1" t="n"/>
      <c r="D825" s="2" t="n"/>
      <c r="E825" s="2" t="n"/>
      <c r="F825" s="1" t="n"/>
      <c r="G825" s="1" t="n"/>
      <c r="H825" s="3" t="n"/>
      <c r="I825" s="3" t="n"/>
    </row>
    <row r="826" ht="14.25" customHeight="1" s="101">
      <c r="A826" s="1" t="n"/>
      <c r="D826" s="2" t="n"/>
      <c r="E826" s="2" t="n"/>
      <c r="F826" s="1" t="n"/>
      <c r="G826" s="1" t="n"/>
      <c r="H826" s="3" t="n"/>
      <c r="I826" s="3" t="n"/>
    </row>
    <row r="827" ht="14.25" customHeight="1" s="101">
      <c r="A827" s="1" t="n"/>
      <c r="D827" s="2" t="n"/>
      <c r="E827" s="2" t="n"/>
      <c r="F827" s="1" t="n"/>
      <c r="G827" s="1" t="n"/>
      <c r="H827" s="3" t="n"/>
      <c r="I827" s="3" t="n"/>
    </row>
    <row r="828" ht="14.25" customHeight="1" s="101">
      <c r="A828" s="1" t="n"/>
      <c r="D828" s="2" t="n"/>
      <c r="E828" s="2" t="n"/>
      <c r="F828" s="1" t="n"/>
      <c r="G828" s="1" t="n"/>
      <c r="H828" s="3" t="n"/>
      <c r="I828" s="3" t="n"/>
    </row>
    <row r="829" ht="14.25" customHeight="1" s="101">
      <c r="A829" s="1" t="n"/>
      <c r="D829" s="2" t="n"/>
      <c r="E829" s="2" t="n"/>
      <c r="F829" s="1" t="n"/>
      <c r="G829" s="1" t="n"/>
      <c r="H829" s="3" t="n"/>
      <c r="I829" s="3" t="n"/>
    </row>
    <row r="830" ht="14.25" customHeight="1" s="101">
      <c r="A830" s="1" t="n"/>
      <c r="D830" s="2" t="n"/>
      <c r="E830" s="2" t="n"/>
      <c r="F830" s="1" t="n"/>
      <c r="G830" s="1" t="n"/>
      <c r="H830" s="3" t="n"/>
      <c r="I830" s="3" t="n"/>
    </row>
    <row r="831" ht="14.25" customHeight="1" s="101">
      <c r="A831" s="1" t="n"/>
      <c r="D831" s="2" t="n"/>
      <c r="E831" s="2" t="n"/>
      <c r="F831" s="1" t="n"/>
      <c r="G831" s="1" t="n"/>
      <c r="H831" s="3" t="n"/>
      <c r="I831" s="3" t="n"/>
    </row>
    <row r="832" ht="14.25" customHeight="1" s="101">
      <c r="A832" s="1" t="n"/>
      <c r="D832" s="2" t="n"/>
      <c r="E832" s="2" t="n"/>
      <c r="F832" s="1" t="n"/>
      <c r="G832" s="1" t="n"/>
      <c r="H832" s="3" t="n"/>
      <c r="I832" s="3" t="n"/>
    </row>
    <row r="833" ht="14.25" customHeight="1" s="101">
      <c r="A833" s="1" t="n"/>
      <c r="D833" s="2" t="n"/>
      <c r="E833" s="2" t="n"/>
      <c r="F833" s="1" t="n"/>
      <c r="G833" s="1" t="n"/>
      <c r="H833" s="3" t="n"/>
      <c r="I833" s="3" t="n"/>
    </row>
    <row r="834" ht="14.25" customHeight="1" s="101">
      <c r="A834" s="1" t="n"/>
      <c r="D834" s="2" t="n"/>
      <c r="E834" s="2" t="n"/>
      <c r="F834" s="1" t="n"/>
      <c r="G834" s="1" t="n"/>
      <c r="H834" s="3" t="n"/>
      <c r="I834" s="3" t="n"/>
    </row>
    <row r="835" ht="14.25" customHeight="1" s="101">
      <c r="A835" s="1" t="n"/>
      <c r="D835" s="2" t="n"/>
      <c r="E835" s="2" t="n"/>
      <c r="F835" s="1" t="n"/>
      <c r="G835" s="1" t="n"/>
      <c r="H835" s="3" t="n"/>
      <c r="I835" s="3" t="n"/>
    </row>
    <row r="836" ht="14.25" customHeight="1" s="101">
      <c r="A836" s="1" t="n"/>
      <c r="D836" s="2" t="n"/>
      <c r="E836" s="2" t="n"/>
      <c r="F836" s="1" t="n"/>
      <c r="G836" s="1" t="n"/>
      <c r="H836" s="3" t="n"/>
      <c r="I836" s="3" t="n"/>
    </row>
    <row r="837" ht="14.25" customHeight="1" s="101">
      <c r="A837" s="1" t="n"/>
      <c r="D837" s="2" t="n"/>
      <c r="E837" s="2" t="n"/>
      <c r="F837" s="1" t="n"/>
      <c r="G837" s="1" t="n"/>
      <c r="H837" s="3" t="n"/>
      <c r="I837" s="3" t="n"/>
    </row>
    <row r="838" ht="14.25" customHeight="1" s="101">
      <c r="A838" s="1" t="n"/>
      <c r="D838" s="2" t="n"/>
      <c r="E838" s="2" t="n"/>
      <c r="F838" s="1" t="n"/>
      <c r="G838" s="1" t="n"/>
      <c r="H838" s="3" t="n"/>
      <c r="I838" s="3" t="n"/>
    </row>
    <row r="839" ht="14.25" customHeight="1" s="101">
      <c r="A839" s="1" t="n"/>
      <c r="D839" s="2" t="n"/>
      <c r="E839" s="2" t="n"/>
      <c r="F839" s="1" t="n"/>
      <c r="G839" s="1" t="n"/>
      <c r="H839" s="3" t="n"/>
      <c r="I839" s="3" t="n"/>
    </row>
    <row r="840" ht="14.25" customHeight="1" s="101">
      <c r="A840" s="1" t="n"/>
      <c r="D840" s="2" t="n"/>
      <c r="E840" s="2" t="n"/>
      <c r="F840" s="1" t="n"/>
      <c r="G840" s="1" t="n"/>
      <c r="H840" s="3" t="n"/>
      <c r="I840" s="3" t="n"/>
    </row>
    <row r="841" ht="14.25" customHeight="1" s="101">
      <c r="A841" s="1" t="n"/>
      <c r="D841" s="2" t="n"/>
      <c r="E841" s="2" t="n"/>
      <c r="F841" s="1" t="n"/>
      <c r="G841" s="1" t="n"/>
      <c r="H841" s="3" t="n"/>
      <c r="I841" s="3" t="n"/>
    </row>
    <row r="842" ht="14.25" customHeight="1" s="101">
      <c r="A842" s="1" t="n"/>
      <c r="D842" s="2" t="n"/>
      <c r="E842" s="2" t="n"/>
      <c r="F842" s="1" t="n"/>
      <c r="G842" s="1" t="n"/>
      <c r="H842" s="3" t="n"/>
      <c r="I842" s="3" t="n"/>
    </row>
    <row r="843" ht="14.25" customHeight="1" s="101">
      <c r="A843" s="1" t="n"/>
      <c r="D843" s="2" t="n"/>
      <c r="E843" s="2" t="n"/>
      <c r="F843" s="1" t="n"/>
      <c r="G843" s="1" t="n"/>
      <c r="H843" s="3" t="n"/>
      <c r="I843" s="3" t="n"/>
    </row>
    <row r="844" ht="14.25" customHeight="1" s="101">
      <c r="A844" s="1" t="n"/>
      <c r="D844" s="2" t="n"/>
      <c r="E844" s="2" t="n"/>
      <c r="F844" s="1" t="n"/>
      <c r="G844" s="1" t="n"/>
      <c r="H844" s="3" t="n"/>
      <c r="I844" s="3" t="n"/>
    </row>
    <row r="845" ht="14.25" customHeight="1" s="101">
      <c r="A845" s="1" t="n"/>
      <c r="D845" s="2" t="n"/>
      <c r="E845" s="2" t="n"/>
      <c r="F845" s="1" t="n"/>
      <c r="G845" s="1" t="n"/>
      <c r="H845" s="3" t="n"/>
      <c r="I845" s="3" t="n"/>
    </row>
    <row r="846" ht="14.25" customHeight="1" s="101">
      <c r="A846" s="1" t="n"/>
      <c r="D846" s="2" t="n"/>
      <c r="E846" s="2" t="n"/>
      <c r="F846" s="1" t="n"/>
      <c r="G846" s="1" t="n"/>
      <c r="H846" s="3" t="n"/>
      <c r="I846" s="3" t="n"/>
    </row>
    <row r="847" ht="14.25" customHeight="1" s="101">
      <c r="A847" s="1" t="n"/>
      <c r="D847" s="2" t="n"/>
      <c r="E847" s="2" t="n"/>
      <c r="F847" s="1" t="n"/>
      <c r="G847" s="1" t="n"/>
      <c r="H847" s="3" t="n"/>
      <c r="I847" s="3" t="n"/>
    </row>
    <row r="848" ht="14.25" customHeight="1" s="101">
      <c r="A848" s="1" t="n"/>
      <c r="D848" s="2" t="n"/>
      <c r="E848" s="2" t="n"/>
      <c r="F848" s="1" t="n"/>
      <c r="G848" s="1" t="n"/>
      <c r="H848" s="3" t="n"/>
      <c r="I848" s="3" t="n"/>
    </row>
    <row r="849" ht="14.25" customHeight="1" s="101">
      <c r="A849" s="1" t="n"/>
      <c r="D849" s="2" t="n"/>
      <c r="E849" s="2" t="n"/>
      <c r="F849" s="1" t="n"/>
      <c r="G849" s="1" t="n"/>
      <c r="H849" s="3" t="n"/>
      <c r="I849" s="3" t="n"/>
    </row>
    <row r="850" ht="14.25" customHeight="1" s="101">
      <c r="A850" s="1" t="n"/>
      <c r="D850" s="2" t="n"/>
      <c r="E850" s="2" t="n"/>
      <c r="F850" s="1" t="n"/>
      <c r="G850" s="1" t="n"/>
      <c r="H850" s="3" t="n"/>
      <c r="I850" s="3" t="n"/>
    </row>
    <row r="851" ht="14.25" customHeight="1" s="101">
      <c r="A851" s="1" t="n"/>
      <c r="D851" s="2" t="n"/>
      <c r="E851" s="2" t="n"/>
      <c r="F851" s="1" t="n"/>
      <c r="G851" s="1" t="n"/>
      <c r="H851" s="3" t="n"/>
      <c r="I851" s="3" t="n"/>
    </row>
    <row r="852" ht="14.25" customHeight="1" s="101">
      <c r="A852" s="1" t="n"/>
      <c r="D852" s="2" t="n"/>
      <c r="E852" s="2" t="n"/>
      <c r="F852" s="1" t="n"/>
      <c r="G852" s="1" t="n"/>
      <c r="H852" s="3" t="n"/>
      <c r="I852" s="3" t="n"/>
    </row>
    <row r="853" ht="14.25" customHeight="1" s="101">
      <c r="A853" s="1" t="n"/>
      <c r="D853" s="2" t="n"/>
      <c r="E853" s="2" t="n"/>
      <c r="F853" s="1" t="n"/>
      <c r="G853" s="1" t="n"/>
      <c r="H853" s="3" t="n"/>
      <c r="I853" s="3" t="n"/>
    </row>
    <row r="854" ht="14.25" customHeight="1" s="101">
      <c r="A854" s="1" t="n"/>
      <c r="D854" s="2" t="n"/>
      <c r="E854" s="2" t="n"/>
      <c r="F854" s="1" t="n"/>
      <c r="G854" s="1" t="n"/>
      <c r="H854" s="3" t="n"/>
      <c r="I854" s="3" t="n"/>
    </row>
    <row r="855" ht="14.25" customHeight="1" s="101">
      <c r="A855" s="1" t="n"/>
      <c r="D855" s="2" t="n"/>
      <c r="E855" s="2" t="n"/>
      <c r="F855" s="1" t="n"/>
      <c r="G855" s="1" t="n"/>
      <c r="H855" s="3" t="n"/>
      <c r="I855" s="3" t="n"/>
    </row>
    <row r="856" ht="14.25" customHeight="1" s="101">
      <c r="A856" s="1" t="n"/>
      <c r="D856" s="2" t="n"/>
      <c r="E856" s="2" t="n"/>
      <c r="F856" s="1" t="n"/>
      <c r="G856" s="1" t="n"/>
      <c r="H856" s="3" t="n"/>
      <c r="I856" s="3" t="n"/>
    </row>
    <row r="857" ht="14.25" customHeight="1" s="101">
      <c r="A857" s="1" t="n"/>
      <c r="D857" s="2" t="n"/>
      <c r="E857" s="2" t="n"/>
      <c r="F857" s="1" t="n"/>
      <c r="G857" s="1" t="n"/>
      <c r="H857" s="3" t="n"/>
      <c r="I857" s="3" t="n"/>
    </row>
    <row r="858" ht="14.25" customHeight="1" s="101">
      <c r="A858" s="1" t="n"/>
      <c r="D858" s="2" t="n"/>
      <c r="E858" s="2" t="n"/>
      <c r="F858" s="1" t="n"/>
      <c r="G858" s="1" t="n"/>
      <c r="H858" s="3" t="n"/>
      <c r="I858" s="3" t="n"/>
    </row>
    <row r="859" ht="14.25" customHeight="1" s="101">
      <c r="A859" s="1" t="n"/>
      <c r="D859" s="2" t="n"/>
      <c r="E859" s="2" t="n"/>
      <c r="F859" s="1" t="n"/>
      <c r="G859" s="1" t="n"/>
      <c r="H859" s="3" t="n"/>
      <c r="I859" s="3" t="n"/>
    </row>
    <row r="860" ht="14.25" customHeight="1" s="101">
      <c r="A860" s="1" t="n"/>
      <c r="D860" s="2" t="n"/>
      <c r="E860" s="2" t="n"/>
      <c r="F860" s="1" t="n"/>
      <c r="G860" s="1" t="n"/>
      <c r="H860" s="3" t="n"/>
      <c r="I860" s="3" t="n"/>
    </row>
    <row r="861" ht="14.25" customHeight="1" s="101">
      <c r="A861" s="1" t="n"/>
      <c r="D861" s="2" t="n"/>
      <c r="E861" s="2" t="n"/>
      <c r="F861" s="1" t="n"/>
      <c r="G861" s="1" t="n"/>
      <c r="H861" s="3" t="n"/>
      <c r="I861" s="3" t="n"/>
    </row>
    <row r="862" ht="14.25" customHeight="1" s="101">
      <c r="A862" s="1" t="n"/>
      <c r="D862" s="2" t="n"/>
      <c r="E862" s="2" t="n"/>
      <c r="F862" s="1" t="n"/>
      <c r="G862" s="1" t="n"/>
      <c r="H862" s="3" t="n"/>
      <c r="I862" s="3" t="n"/>
    </row>
    <row r="863" ht="14.25" customHeight="1" s="101">
      <c r="A863" s="1" t="n"/>
      <c r="D863" s="2" t="n"/>
      <c r="E863" s="2" t="n"/>
      <c r="F863" s="1" t="n"/>
      <c r="G863" s="1" t="n"/>
      <c r="H863" s="3" t="n"/>
      <c r="I863" s="3" t="n"/>
    </row>
    <row r="864" ht="14.25" customHeight="1" s="101">
      <c r="A864" s="1" t="n"/>
      <c r="D864" s="2" t="n"/>
      <c r="E864" s="2" t="n"/>
      <c r="F864" s="1" t="n"/>
      <c r="G864" s="1" t="n"/>
      <c r="H864" s="3" t="n"/>
      <c r="I864" s="3" t="n"/>
    </row>
    <row r="865" ht="14.25" customHeight="1" s="101">
      <c r="A865" s="1" t="n"/>
      <c r="D865" s="2" t="n"/>
      <c r="E865" s="2" t="n"/>
      <c r="F865" s="1" t="n"/>
      <c r="G865" s="1" t="n"/>
      <c r="H865" s="3" t="n"/>
      <c r="I865" s="3" t="n"/>
    </row>
    <row r="866" ht="14.25" customHeight="1" s="101">
      <c r="A866" s="1" t="n"/>
      <c r="D866" s="2" t="n"/>
      <c r="E866" s="2" t="n"/>
      <c r="F866" s="1" t="n"/>
      <c r="G866" s="1" t="n"/>
      <c r="H866" s="3" t="n"/>
      <c r="I866" s="3" t="n"/>
    </row>
    <row r="867" ht="14.25" customHeight="1" s="101">
      <c r="A867" s="1" t="n"/>
      <c r="D867" s="2" t="n"/>
      <c r="E867" s="2" t="n"/>
      <c r="F867" s="1" t="n"/>
      <c r="G867" s="1" t="n"/>
      <c r="H867" s="3" t="n"/>
      <c r="I867" s="3" t="n"/>
    </row>
    <row r="868" ht="14.25" customHeight="1" s="101">
      <c r="A868" s="1" t="n"/>
      <c r="D868" s="2" t="n"/>
      <c r="E868" s="2" t="n"/>
      <c r="F868" s="1" t="n"/>
      <c r="G868" s="1" t="n"/>
      <c r="H868" s="3" t="n"/>
      <c r="I868" s="3" t="n"/>
    </row>
    <row r="869" ht="14.25" customHeight="1" s="101">
      <c r="A869" s="1" t="n"/>
      <c r="D869" s="2" t="n"/>
      <c r="E869" s="2" t="n"/>
      <c r="F869" s="1" t="n"/>
      <c r="G869" s="1" t="n"/>
      <c r="H869" s="3" t="n"/>
      <c r="I869" s="3" t="n"/>
    </row>
    <row r="870" ht="14.25" customHeight="1" s="101">
      <c r="A870" s="1" t="n"/>
      <c r="D870" s="2" t="n"/>
      <c r="E870" s="2" t="n"/>
      <c r="F870" s="1" t="n"/>
      <c r="G870" s="1" t="n"/>
      <c r="H870" s="3" t="n"/>
      <c r="I870" s="3" t="n"/>
    </row>
    <row r="871" ht="14.25" customHeight="1" s="101">
      <c r="A871" s="1" t="n"/>
      <c r="D871" s="2" t="n"/>
      <c r="E871" s="2" t="n"/>
      <c r="F871" s="1" t="n"/>
      <c r="G871" s="1" t="n"/>
      <c r="H871" s="3" t="n"/>
      <c r="I871" s="3" t="n"/>
    </row>
    <row r="872" ht="14.25" customHeight="1" s="101">
      <c r="A872" s="1" t="n"/>
      <c r="D872" s="2" t="n"/>
      <c r="E872" s="2" t="n"/>
      <c r="F872" s="1" t="n"/>
      <c r="G872" s="1" t="n"/>
      <c r="H872" s="3" t="n"/>
      <c r="I872" s="3" t="n"/>
    </row>
    <row r="873" ht="14.25" customHeight="1" s="101">
      <c r="A873" s="1" t="n"/>
      <c r="D873" s="2" t="n"/>
      <c r="E873" s="2" t="n"/>
      <c r="F873" s="1" t="n"/>
      <c r="G873" s="1" t="n"/>
      <c r="H873" s="3" t="n"/>
      <c r="I873" s="3" t="n"/>
    </row>
    <row r="874" ht="14.25" customHeight="1" s="101">
      <c r="A874" s="1" t="n"/>
      <c r="D874" s="2" t="n"/>
      <c r="E874" s="2" t="n"/>
      <c r="F874" s="1" t="n"/>
      <c r="G874" s="1" t="n"/>
      <c r="H874" s="3" t="n"/>
      <c r="I874" s="3" t="n"/>
    </row>
    <row r="875" ht="14.25" customHeight="1" s="101">
      <c r="A875" s="1" t="n"/>
      <c r="D875" s="2" t="n"/>
      <c r="E875" s="2" t="n"/>
      <c r="F875" s="1" t="n"/>
      <c r="G875" s="1" t="n"/>
      <c r="H875" s="3" t="n"/>
      <c r="I875" s="3" t="n"/>
    </row>
    <row r="876" ht="14.25" customHeight="1" s="101">
      <c r="A876" s="1" t="n"/>
      <c r="D876" s="2" t="n"/>
      <c r="E876" s="2" t="n"/>
      <c r="F876" s="1" t="n"/>
      <c r="G876" s="1" t="n"/>
      <c r="H876" s="3" t="n"/>
      <c r="I876" s="3" t="n"/>
    </row>
    <row r="877" ht="14.25" customHeight="1" s="101">
      <c r="A877" s="1" t="n"/>
      <c r="D877" s="2" t="n"/>
      <c r="E877" s="2" t="n"/>
      <c r="F877" s="1" t="n"/>
      <c r="G877" s="1" t="n"/>
      <c r="H877" s="3" t="n"/>
      <c r="I877" s="3" t="n"/>
    </row>
    <row r="878" ht="14.25" customHeight="1" s="101">
      <c r="A878" s="1" t="n"/>
      <c r="D878" s="2" t="n"/>
      <c r="E878" s="2" t="n"/>
      <c r="F878" s="1" t="n"/>
      <c r="G878" s="1" t="n"/>
      <c r="H878" s="3" t="n"/>
      <c r="I878" s="3" t="n"/>
    </row>
    <row r="879" ht="14.25" customHeight="1" s="101">
      <c r="A879" s="1" t="n"/>
      <c r="D879" s="2" t="n"/>
      <c r="E879" s="2" t="n"/>
      <c r="F879" s="1" t="n"/>
      <c r="G879" s="1" t="n"/>
      <c r="H879" s="3" t="n"/>
      <c r="I879" s="3" t="n"/>
    </row>
    <row r="880" ht="14.25" customHeight="1" s="101">
      <c r="A880" s="1" t="n"/>
      <c r="D880" s="2" t="n"/>
      <c r="E880" s="2" t="n"/>
      <c r="F880" s="1" t="n"/>
      <c r="G880" s="1" t="n"/>
      <c r="H880" s="3" t="n"/>
      <c r="I880" s="3" t="n"/>
    </row>
    <row r="881" ht="14.25" customHeight="1" s="101">
      <c r="A881" s="1" t="n"/>
      <c r="D881" s="2" t="n"/>
      <c r="E881" s="2" t="n"/>
      <c r="F881" s="1" t="n"/>
      <c r="G881" s="1" t="n"/>
      <c r="H881" s="3" t="n"/>
      <c r="I881" s="3" t="n"/>
    </row>
    <row r="882" ht="14.25" customHeight="1" s="101">
      <c r="A882" s="1" t="n"/>
      <c r="D882" s="2" t="n"/>
      <c r="E882" s="2" t="n"/>
      <c r="F882" s="1" t="n"/>
      <c r="G882" s="1" t="n"/>
      <c r="H882" s="3" t="n"/>
      <c r="I882" s="3" t="n"/>
    </row>
    <row r="883" ht="14.25" customHeight="1" s="101">
      <c r="A883" s="1" t="n"/>
      <c r="D883" s="2" t="n"/>
      <c r="E883" s="2" t="n"/>
      <c r="F883" s="1" t="n"/>
      <c r="G883" s="1" t="n"/>
      <c r="H883" s="3" t="n"/>
      <c r="I883" s="3" t="n"/>
    </row>
    <row r="884" ht="14.25" customHeight="1" s="101">
      <c r="A884" s="1" t="n"/>
      <c r="D884" s="2" t="n"/>
      <c r="E884" s="2" t="n"/>
      <c r="F884" s="1" t="n"/>
      <c r="G884" s="1" t="n"/>
      <c r="H884" s="3" t="n"/>
      <c r="I884" s="3" t="n"/>
    </row>
    <row r="885" ht="14.25" customHeight="1" s="101">
      <c r="A885" s="1" t="n"/>
      <c r="D885" s="2" t="n"/>
      <c r="E885" s="2" t="n"/>
      <c r="F885" s="1" t="n"/>
      <c r="G885" s="1" t="n"/>
      <c r="H885" s="3" t="n"/>
      <c r="I885" s="3" t="n"/>
    </row>
    <row r="886" ht="14.25" customHeight="1" s="101">
      <c r="A886" s="1" t="n"/>
      <c r="D886" s="2" t="n"/>
      <c r="E886" s="2" t="n"/>
      <c r="F886" s="1" t="n"/>
      <c r="G886" s="1" t="n"/>
      <c r="H886" s="3" t="n"/>
      <c r="I886" s="3" t="n"/>
    </row>
    <row r="887" ht="14.25" customHeight="1" s="101">
      <c r="A887" s="1" t="n"/>
      <c r="D887" s="2" t="n"/>
      <c r="E887" s="2" t="n"/>
      <c r="F887" s="1" t="n"/>
      <c r="G887" s="1" t="n"/>
      <c r="H887" s="3" t="n"/>
      <c r="I887" s="3" t="n"/>
    </row>
    <row r="888" ht="14.25" customHeight="1" s="101">
      <c r="A888" s="1" t="n"/>
      <c r="D888" s="2" t="n"/>
      <c r="E888" s="2" t="n"/>
      <c r="F888" s="1" t="n"/>
      <c r="G888" s="1" t="n"/>
      <c r="H888" s="3" t="n"/>
      <c r="I888" s="3" t="n"/>
    </row>
    <row r="889" ht="14.25" customHeight="1" s="101">
      <c r="A889" s="1" t="n"/>
      <c r="D889" s="2" t="n"/>
      <c r="E889" s="2" t="n"/>
      <c r="F889" s="1" t="n"/>
      <c r="G889" s="1" t="n"/>
      <c r="H889" s="3" t="n"/>
      <c r="I889" s="3" t="n"/>
    </row>
    <row r="890" ht="14.25" customHeight="1" s="101">
      <c r="A890" s="1" t="n"/>
      <c r="D890" s="2" t="n"/>
      <c r="E890" s="2" t="n"/>
      <c r="F890" s="1" t="n"/>
      <c r="G890" s="1" t="n"/>
      <c r="H890" s="3" t="n"/>
      <c r="I890" s="3" t="n"/>
    </row>
    <row r="891" ht="14.25" customHeight="1" s="101">
      <c r="A891" s="1" t="n"/>
      <c r="D891" s="2" t="n"/>
      <c r="E891" s="2" t="n"/>
      <c r="F891" s="1" t="n"/>
      <c r="G891" s="1" t="n"/>
      <c r="H891" s="3" t="n"/>
      <c r="I891" s="3" t="n"/>
    </row>
    <row r="892" ht="14.25" customHeight="1" s="101">
      <c r="A892" s="1" t="n"/>
      <c r="D892" s="2" t="n"/>
      <c r="E892" s="2" t="n"/>
      <c r="F892" s="1" t="n"/>
      <c r="G892" s="1" t="n"/>
      <c r="H892" s="3" t="n"/>
      <c r="I892" s="3" t="n"/>
    </row>
    <row r="893" ht="14.25" customHeight="1" s="101">
      <c r="A893" s="1" t="n"/>
      <c r="D893" s="2" t="n"/>
      <c r="E893" s="2" t="n"/>
      <c r="F893" s="1" t="n"/>
      <c r="G893" s="1" t="n"/>
      <c r="H893" s="3" t="n"/>
      <c r="I893" s="3" t="n"/>
    </row>
    <row r="894" ht="14.25" customHeight="1" s="101">
      <c r="A894" s="1" t="n"/>
      <c r="D894" s="2" t="n"/>
      <c r="E894" s="2" t="n"/>
      <c r="F894" s="1" t="n"/>
      <c r="G894" s="1" t="n"/>
      <c r="H894" s="3" t="n"/>
      <c r="I894" s="3" t="n"/>
    </row>
    <row r="895" ht="14.25" customHeight="1" s="101">
      <c r="A895" s="1" t="n"/>
      <c r="D895" s="2" t="n"/>
      <c r="E895" s="2" t="n"/>
      <c r="F895" s="1" t="n"/>
      <c r="G895" s="1" t="n"/>
      <c r="H895" s="3" t="n"/>
      <c r="I895" s="3" t="n"/>
    </row>
    <row r="896" ht="14.25" customHeight="1" s="101">
      <c r="A896" s="1" t="n"/>
      <c r="D896" s="2" t="n"/>
      <c r="E896" s="2" t="n"/>
      <c r="F896" s="1" t="n"/>
      <c r="G896" s="1" t="n"/>
      <c r="H896" s="3" t="n"/>
      <c r="I896" s="3" t="n"/>
    </row>
    <row r="897" ht="14.25" customHeight="1" s="101">
      <c r="A897" s="1" t="n"/>
      <c r="D897" s="2" t="n"/>
      <c r="E897" s="2" t="n"/>
      <c r="F897" s="1" t="n"/>
      <c r="G897" s="1" t="n"/>
      <c r="H897" s="3" t="n"/>
      <c r="I897" s="3" t="n"/>
    </row>
    <row r="898" ht="14.25" customHeight="1" s="101">
      <c r="A898" s="1" t="n"/>
      <c r="D898" s="2" t="n"/>
      <c r="E898" s="2" t="n"/>
      <c r="F898" s="1" t="n"/>
      <c r="G898" s="1" t="n"/>
      <c r="H898" s="3" t="n"/>
      <c r="I898" s="3" t="n"/>
    </row>
    <row r="899" ht="14.25" customHeight="1" s="101">
      <c r="A899" s="1" t="n"/>
      <c r="D899" s="2" t="n"/>
      <c r="E899" s="2" t="n"/>
      <c r="F899" s="1" t="n"/>
      <c r="G899" s="1" t="n"/>
      <c r="H899" s="3" t="n"/>
      <c r="I899" s="3" t="n"/>
    </row>
    <row r="900" ht="14.25" customHeight="1" s="101">
      <c r="A900" s="1" t="n"/>
      <c r="D900" s="2" t="n"/>
      <c r="E900" s="2" t="n"/>
      <c r="F900" s="1" t="n"/>
      <c r="G900" s="1" t="n"/>
      <c r="H900" s="3" t="n"/>
      <c r="I900" s="3" t="n"/>
    </row>
    <row r="901" ht="14.25" customHeight="1" s="101">
      <c r="A901" s="1" t="n"/>
      <c r="D901" s="2" t="n"/>
      <c r="E901" s="2" t="n"/>
      <c r="F901" s="1" t="n"/>
      <c r="G901" s="1" t="n"/>
      <c r="H901" s="3" t="n"/>
      <c r="I901" s="3" t="n"/>
    </row>
    <row r="902" ht="14.25" customHeight="1" s="101">
      <c r="A902" s="1" t="n"/>
      <c r="D902" s="2" t="n"/>
      <c r="E902" s="2" t="n"/>
      <c r="F902" s="1" t="n"/>
      <c r="G902" s="1" t="n"/>
      <c r="H902" s="3" t="n"/>
      <c r="I902" s="3" t="n"/>
    </row>
    <row r="903" ht="14.25" customHeight="1" s="101">
      <c r="A903" s="1" t="n"/>
      <c r="D903" s="2" t="n"/>
      <c r="E903" s="2" t="n"/>
      <c r="F903" s="1" t="n"/>
      <c r="G903" s="1" t="n"/>
      <c r="H903" s="3" t="n"/>
      <c r="I903" s="3" t="n"/>
    </row>
    <row r="904" ht="14.25" customHeight="1" s="101">
      <c r="A904" s="1" t="n"/>
      <c r="D904" s="2" t="n"/>
      <c r="E904" s="2" t="n"/>
      <c r="F904" s="1" t="n"/>
      <c r="G904" s="1" t="n"/>
      <c r="H904" s="3" t="n"/>
      <c r="I904" s="3" t="n"/>
    </row>
    <row r="905" ht="14.25" customHeight="1" s="101">
      <c r="A905" s="1" t="n"/>
      <c r="D905" s="2" t="n"/>
      <c r="E905" s="2" t="n"/>
      <c r="F905" s="1" t="n"/>
      <c r="G905" s="1" t="n"/>
      <c r="H905" s="3" t="n"/>
      <c r="I905" s="3" t="n"/>
    </row>
    <row r="906" ht="14.25" customHeight="1" s="101">
      <c r="A906" s="1" t="n"/>
      <c r="D906" s="2" t="n"/>
      <c r="E906" s="2" t="n"/>
      <c r="F906" s="1" t="n"/>
      <c r="G906" s="1" t="n"/>
      <c r="H906" s="3" t="n"/>
      <c r="I906" s="3" t="n"/>
    </row>
    <row r="907" ht="14.25" customHeight="1" s="101">
      <c r="A907" s="1" t="n"/>
      <c r="D907" s="2" t="n"/>
      <c r="E907" s="2" t="n"/>
      <c r="F907" s="1" t="n"/>
      <c r="G907" s="1" t="n"/>
      <c r="H907" s="3" t="n"/>
      <c r="I907" s="3" t="n"/>
    </row>
    <row r="908" ht="14.25" customHeight="1" s="101">
      <c r="A908" s="1" t="n"/>
      <c r="D908" s="2" t="n"/>
      <c r="E908" s="2" t="n"/>
      <c r="F908" s="1" t="n"/>
      <c r="G908" s="1" t="n"/>
      <c r="H908" s="3" t="n"/>
      <c r="I908" s="3" t="n"/>
    </row>
    <row r="909" ht="14.25" customHeight="1" s="101">
      <c r="A909" s="1" t="n"/>
      <c r="D909" s="2" t="n"/>
      <c r="E909" s="2" t="n"/>
      <c r="F909" s="1" t="n"/>
      <c r="G909" s="1" t="n"/>
      <c r="H909" s="3" t="n"/>
      <c r="I909" s="3" t="n"/>
    </row>
    <row r="910" ht="14.25" customHeight="1" s="101">
      <c r="A910" s="1" t="n"/>
      <c r="D910" s="2" t="n"/>
      <c r="E910" s="2" t="n"/>
      <c r="F910" s="1" t="n"/>
      <c r="G910" s="1" t="n"/>
      <c r="H910" s="3" t="n"/>
      <c r="I910" s="3" t="n"/>
    </row>
    <row r="911" ht="14.25" customHeight="1" s="101">
      <c r="A911" s="1" t="n"/>
      <c r="D911" s="2" t="n"/>
      <c r="E911" s="2" t="n"/>
      <c r="F911" s="1" t="n"/>
      <c r="G911" s="1" t="n"/>
      <c r="H911" s="3" t="n"/>
      <c r="I911" s="3" t="n"/>
    </row>
    <row r="912" ht="14.25" customHeight="1" s="101">
      <c r="A912" s="1" t="n"/>
      <c r="D912" s="2" t="n"/>
      <c r="E912" s="2" t="n"/>
      <c r="F912" s="1" t="n"/>
      <c r="G912" s="1" t="n"/>
      <c r="H912" s="3" t="n"/>
      <c r="I912" s="3" t="n"/>
    </row>
    <row r="913" ht="14.25" customHeight="1" s="101">
      <c r="A913" s="1" t="n"/>
      <c r="D913" s="2" t="n"/>
      <c r="E913" s="2" t="n"/>
      <c r="F913" s="1" t="n"/>
      <c r="G913" s="1" t="n"/>
      <c r="H913" s="3" t="n"/>
      <c r="I913" s="3" t="n"/>
    </row>
    <row r="914" ht="14.25" customHeight="1" s="101">
      <c r="A914" s="1" t="n"/>
      <c r="D914" s="2" t="n"/>
      <c r="E914" s="2" t="n"/>
      <c r="F914" s="1" t="n"/>
      <c r="G914" s="1" t="n"/>
      <c r="H914" s="3" t="n"/>
      <c r="I914" s="3" t="n"/>
    </row>
    <row r="915" ht="14.25" customHeight="1" s="101">
      <c r="A915" s="1" t="n"/>
      <c r="D915" s="2" t="n"/>
      <c r="E915" s="2" t="n"/>
      <c r="F915" s="1" t="n"/>
      <c r="G915" s="1" t="n"/>
      <c r="H915" s="3" t="n"/>
      <c r="I915" s="3" t="n"/>
    </row>
    <row r="916" ht="14.25" customHeight="1" s="101">
      <c r="A916" s="1" t="n"/>
      <c r="D916" s="2" t="n"/>
      <c r="E916" s="2" t="n"/>
      <c r="F916" s="1" t="n"/>
      <c r="G916" s="1" t="n"/>
      <c r="H916" s="3" t="n"/>
      <c r="I916" s="3" t="n"/>
    </row>
    <row r="917" ht="14.25" customHeight="1" s="101">
      <c r="A917" s="1" t="n"/>
      <c r="D917" s="2" t="n"/>
      <c r="E917" s="2" t="n"/>
      <c r="F917" s="1" t="n"/>
      <c r="G917" s="1" t="n"/>
      <c r="H917" s="3" t="n"/>
      <c r="I917" s="3" t="n"/>
    </row>
    <row r="918" ht="14.25" customHeight="1" s="101">
      <c r="A918" s="1" t="n"/>
      <c r="D918" s="2" t="n"/>
      <c r="E918" s="2" t="n"/>
      <c r="F918" s="1" t="n"/>
      <c r="G918" s="1" t="n"/>
      <c r="H918" s="3" t="n"/>
      <c r="I918" s="3" t="n"/>
    </row>
    <row r="919" ht="14.25" customHeight="1" s="101">
      <c r="A919" s="1" t="n"/>
      <c r="D919" s="2" t="n"/>
      <c r="E919" s="2" t="n"/>
      <c r="F919" s="1" t="n"/>
      <c r="G919" s="1" t="n"/>
      <c r="H919" s="3" t="n"/>
      <c r="I919" s="3" t="n"/>
    </row>
    <row r="920" ht="14.25" customHeight="1" s="101">
      <c r="A920" s="1" t="n"/>
      <c r="D920" s="2" t="n"/>
      <c r="E920" s="2" t="n"/>
      <c r="F920" s="1" t="n"/>
      <c r="G920" s="1" t="n"/>
      <c r="H920" s="3" t="n"/>
      <c r="I920" s="3" t="n"/>
    </row>
    <row r="921" ht="14.25" customHeight="1" s="101">
      <c r="A921" s="1" t="n"/>
      <c r="D921" s="2" t="n"/>
      <c r="E921" s="2" t="n"/>
      <c r="F921" s="1" t="n"/>
      <c r="G921" s="1" t="n"/>
      <c r="H921" s="3" t="n"/>
      <c r="I921" s="3" t="n"/>
    </row>
    <row r="922" ht="14.25" customHeight="1" s="101">
      <c r="A922" s="1" t="n"/>
      <c r="D922" s="2" t="n"/>
      <c r="E922" s="2" t="n"/>
      <c r="F922" s="1" t="n"/>
      <c r="G922" s="1" t="n"/>
      <c r="H922" s="3" t="n"/>
      <c r="I922" s="3" t="n"/>
    </row>
    <row r="923" ht="14.25" customHeight="1" s="101">
      <c r="A923" s="1" t="n"/>
      <c r="D923" s="2" t="n"/>
      <c r="E923" s="2" t="n"/>
      <c r="F923" s="1" t="n"/>
      <c r="G923" s="1" t="n"/>
      <c r="H923" s="3" t="n"/>
      <c r="I923" s="3" t="n"/>
    </row>
    <row r="924" ht="14.25" customHeight="1" s="101">
      <c r="A924" s="1" t="n"/>
      <c r="D924" s="2" t="n"/>
      <c r="E924" s="2" t="n"/>
      <c r="F924" s="1" t="n"/>
      <c r="G924" s="1" t="n"/>
      <c r="H924" s="3" t="n"/>
      <c r="I924" s="3" t="n"/>
    </row>
    <row r="925" ht="14.25" customHeight="1" s="101">
      <c r="A925" s="1" t="n"/>
      <c r="D925" s="2" t="n"/>
      <c r="E925" s="2" t="n"/>
      <c r="F925" s="1" t="n"/>
      <c r="G925" s="1" t="n"/>
      <c r="H925" s="3" t="n"/>
      <c r="I925" s="3" t="n"/>
    </row>
    <row r="926" ht="14.25" customHeight="1" s="101">
      <c r="A926" s="1" t="n"/>
      <c r="D926" s="2" t="n"/>
      <c r="E926" s="2" t="n"/>
      <c r="F926" s="1" t="n"/>
      <c r="G926" s="1" t="n"/>
      <c r="H926" s="3" t="n"/>
      <c r="I926" s="3" t="n"/>
    </row>
    <row r="927" ht="14.25" customHeight="1" s="101">
      <c r="A927" s="1" t="n"/>
      <c r="D927" s="2" t="n"/>
      <c r="E927" s="2" t="n"/>
      <c r="F927" s="1" t="n"/>
      <c r="G927" s="1" t="n"/>
      <c r="H927" s="3" t="n"/>
      <c r="I927" s="3" t="n"/>
    </row>
    <row r="928" ht="14.25" customHeight="1" s="101">
      <c r="A928" s="1" t="n"/>
      <c r="D928" s="2" t="n"/>
      <c r="E928" s="2" t="n"/>
      <c r="F928" s="1" t="n"/>
      <c r="G928" s="1" t="n"/>
      <c r="H928" s="3" t="n"/>
      <c r="I928" s="3" t="n"/>
    </row>
    <row r="929" ht="14.25" customHeight="1" s="101">
      <c r="A929" s="1" t="n"/>
      <c r="D929" s="2" t="n"/>
      <c r="E929" s="2" t="n"/>
      <c r="F929" s="1" t="n"/>
      <c r="G929" s="1" t="n"/>
      <c r="H929" s="3" t="n"/>
      <c r="I929" s="3" t="n"/>
    </row>
    <row r="930" ht="14.25" customHeight="1" s="101">
      <c r="A930" s="1" t="n"/>
      <c r="D930" s="2" t="n"/>
      <c r="E930" s="2" t="n"/>
      <c r="F930" s="1" t="n"/>
      <c r="G930" s="1" t="n"/>
      <c r="H930" s="3" t="n"/>
      <c r="I930" s="3" t="n"/>
    </row>
    <row r="931" ht="14.25" customHeight="1" s="101">
      <c r="A931" s="1" t="n"/>
      <c r="D931" s="2" t="n"/>
      <c r="E931" s="2" t="n"/>
      <c r="F931" s="1" t="n"/>
      <c r="G931" s="1" t="n"/>
      <c r="H931" s="3" t="n"/>
      <c r="I931" s="3" t="n"/>
    </row>
    <row r="932" ht="14.25" customHeight="1" s="101">
      <c r="A932" s="1" t="n"/>
      <c r="D932" s="2" t="n"/>
      <c r="E932" s="2" t="n"/>
      <c r="F932" s="1" t="n"/>
      <c r="G932" s="1" t="n"/>
      <c r="H932" s="3" t="n"/>
      <c r="I932" s="3" t="n"/>
    </row>
    <row r="933" ht="14.25" customHeight="1" s="101">
      <c r="A933" s="1" t="n"/>
      <c r="D933" s="2" t="n"/>
      <c r="E933" s="2" t="n"/>
      <c r="F933" s="1" t="n"/>
      <c r="G933" s="1" t="n"/>
      <c r="H933" s="3" t="n"/>
      <c r="I933" s="3" t="n"/>
    </row>
    <row r="934" ht="14.25" customHeight="1" s="101">
      <c r="A934" s="1" t="n"/>
      <c r="D934" s="2" t="n"/>
      <c r="E934" s="2" t="n"/>
      <c r="F934" s="1" t="n"/>
      <c r="G934" s="1" t="n"/>
      <c r="H934" s="3" t="n"/>
      <c r="I934" s="3" t="n"/>
    </row>
    <row r="935" ht="14.25" customHeight="1" s="101">
      <c r="A935" s="1" t="n"/>
      <c r="D935" s="2" t="n"/>
      <c r="E935" s="2" t="n"/>
      <c r="F935" s="1" t="n"/>
      <c r="G935" s="1" t="n"/>
      <c r="H935" s="3" t="n"/>
      <c r="I935" s="3" t="n"/>
    </row>
    <row r="936" ht="14.25" customHeight="1" s="101">
      <c r="A936" s="1" t="n"/>
      <c r="D936" s="2" t="n"/>
      <c r="E936" s="2" t="n"/>
      <c r="F936" s="1" t="n"/>
      <c r="G936" s="1" t="n"/>
      <c r="H936" s="3" t="n"/>
      <c r="I936" s="3" t="n"/>
    </row>
    <row r="937" ht="14.25" customHeight="1" s="101">
      <c r="A937" s="1" t="n"/>
      <c r="D937" s="2" t="n"/>
      <c r="E937" s="2" t="n"/>
      <c r="F937" s="1" t="n"/>
      <c r="G937" s="1" t="n"/>
      <c r="H937" s="3" t="n"/>
      <c r="I937" s="3" t="n"/>
    </row>
    <row r="938" ht="14.25" customHeight="1" s="101">
      <c r="A938" s="1" t="n"/>
      <c r="D938" s="2" t="n"/>
      <c r="E938" s="2" t="n"/>
      <c r="F938" s="1" t="n"/>
      <c r="G938" s="1" t="n"/>
      <c r="H938" s="3" t="n"/>
      <c r="I938" s="3" t="n"/>
    </row>
    <row r="939" ht="14.25" customHeight="1" s="101">
      <c r="A939" s="1" t="n"/>
      <c r="D939" s="2" t="n"/>
      <c r="E939" s="2" t="n"/>
      <c r="F939" s="1" t="n"/>
      <c r="G939" s="1" t="n"/>
      <c r="H939" s="3" t="n"/>
      <c r="I939" s="3" t="n"/>
    </row>
    <row r="940" ht="14.25" customHeight="1" s="101">
      <c r="A940" s="1" t="n"/>
      <c r="D940" s="2" t="n"/>
      <c r="E940" s="2" t="n"/>
      <c r="F940" s="1" t="n"/>
      <c r="G940" s="1" t="n"/>
      <c r="H940" s="3" t="n"/>
      <c r="I940" s="3" t="n"/>
    </row>
    <row r="941" ht="14.25" customHeight="1" s="101">
      <c r="A941" s="1" t="n"/>
      <c r="D941" s="2" t="n"/>
      <c r="E941" s="2" t="n"/>
      <c r="F941" s="1" t="n"/>
      <c r="G941" s="1" t="n"/>
      <c r="H941" s="3" t="n"/>
      <c r="I941" s="3" t="n"/>
    </row>
    <row r="942" ht="14.25" customHeight="1" s="101">
      <c r="A942" s="1" t="n"/>
      <c r="D942" s="2" t="n"/>
      <c r="E942" s="2" t="n"/>
      <c r="F942" s="1" t="n"/>
      <c r="G942" s="1" t="n"/>
      <c r="H942" s="3" t="n"/>
      <c r="I942" s="3" t="n"/>
    </row>
    <row r="943" ht="14.25" customHeight="1" s="101">
      <c r="A943" s="1" t="n"/>
      <c r="D943" s="2" t="n"/>
      <c r="E943" s="2" t="n"/>
      <c r="F943" s="1" t="n"/>
      <c r="G943" s="1" t="n"/>
      <c r="H943" s="3" t="n"/>
      <c r="I943" s="3" t="n"/>
    </row>
    <row r="944" ht="14.25" customHeight="1" s="101">
      <c r="A944" s="1" t="n"/>
      <c r="D944" s="2" t="n"/>
      <c r="E944" s="2" t="n"/>
      <c r="F944" s="1" t="n"/>
      <c r="G944" s="1" t="n"/>
      <c r="H944" s="3" t="n"/>
      <c r="I944" s="3" t="n"/>
    </row>
    <row r="945" ht="14.25" customHeight="1" s="101">
      <c r="A945" s="1" t="n"/>
      <c r="D945" s="2" t="n"/>
      <c r="E945" s="2" t="n"/>
      <c r="F945" s="1" t="n"/>
      <c r="G945" s="1" t="n"/>
      <c r="H945" s="3" t="n"/>
      <c r="I945" s="3" t="n"/>
    </row>
    <row r="946" ht="14.25" customHeight="1" s="101">
      <c r="A946" s="1" t="n"/>
      <c r="D946" s="2" t="n"/>
      <c r="E946" s="2" t="n"/>
      <c r="F946" s="1" t="n"/>
      <c r="G946" s="1" t="n"/>
      <c r="H946" s="3" t="n"/>
      <c r="I946" s="3" t="n"/>
    </row>
    <row r="947" ht="14.25" customHeight="1" s="101">
      <c r="A947" s="1" t="n"/>
      <c r="D947" s="2" t="n"/>
      <c r="E947" s="2" t="n"/>
      <c r="F947" s="1" t="n"/>
      <c r="G947" s="1" t="n"/>
      <c r="H947" s="3" t="n"/>
      <c r="I947" s="3" t="n"/>
    </row>
    <row r="948" ht="14.25" customHeight="1" s="101">
      <c r="A948" s="1" t="n"/>
      <c r="D948" s="2" t="n"/>
      <c r="E948" s="2" t="n"/>
      <c r="F948" s="1" t="n"/>
      <c r="G948" s="1" t="n"/>
      <c r="H948" s="3" t="n"/>
      <c r="I948" s="3" t="n"/>
    </row>
    <row r="949" ht="14.25" customHeight="1" s="101">
      <c r="A949" s="1" t="n"/>
      <c r="D949" s="2" t="n"/>
      <c r="E949" s="2" t="n"/>
      <c r="F949" s="1" t="n"/>
      <c r="G949" s="1" t="n"/>
      <c r="H949" s="3" t="n"/>
      <c r="I949" s="3" t="n"/>
    </row>
    <row r="950" ht="14.25" customHeight="1" s="101">
      <c r="A950" s="1" t="n"/>
      <c r="D950" s="2" t="n"/>
      <c r="E950" s="2" t="n"/>
      <c r="F950" s="1" t="n"/>
      <c r="G950" s="1" t="n"/>
      <c r="H950" s="3" t="n"/>
      <c r="I950" s="3" t="n"/>
    </row>
    <row r="951" ht="14.25" customHeight="1" s="101">
      <c r="A951" s="1" t="n"/>
      <c r="D951" s="2" t="n"/>
      <c r="E951" s="2" t="n"/>
      <c r="F951" s="1" t="n"/>
      <c r="G951" s="1" t="n"/>
      <c r="H951" s="3" t="n"/>
      <c r="I951" s="3" t="n"/>
    </row>
    <row r="952" ht="14.25" customHeight="1" s="101">
      <c r="A952" s="1" t="n"/>
      <c r="D952" s="2" t="n"/>
      <c r="E952" s="2" t="n"/>
      <c r="F952" s="1" t="n"/>
      <c r="G952" s="1" t="n"/>
      <c r="H952" s="3" t="n"/>
      <c r="I952" s="3" t="n"/>
    </row>
    <row r="953" ht="14.25" customHeight="1" s="101">
      <c r="A953" s="1" t="n"/>
      <c r="D953" s="2" t="n"/>
      <c r="E953" s="2" t="n"/>
      <c r="F953" s="1" t="n"/>
      <c r="G953" s="1" t="n"/>
      <c r="H953" s="3" t="n"/>
      <c r="I953" s="3" t="n"/>
    </row>
    <row r="954" ht="14.25" customHeight="1" s="101">
      <c r="A954" s="1" t="n"/>
      <c r="D954" s="2" t="n"/>
      <c r="E954" s="2" t="n"/>
      <c r="F954" s="1" t="n"/>
      <c r="G954" s="1" t="n"/>
      <c r="H954" s="3" t="n"/>
      <c r="I954" s="3" t="n"/>
    </row>
    <row r="955" ht="14.25" customHeight="1" s="101">
      <c r="A955" s="1" t="n"/>
      <c r="D955" s="2" t="n"/>
      <c r="E955" s="2" t="n"/>
      <c r="F955" s="1" t="n"/>
      <c r="G955" s="1" t="n"/>
      <c r="H955" s="3" t="n"/>
      <c r="I955" s="3" t="n"/>
    </row>
    <row r="956" ht="14.25" customHeight="1" s="101">
      <c r="A956" s="1" t="n"/>
      <c r="D956" s="2" t="n"/>
      <c r="E956" s="2" t="n"/>
      <c r="F956" s="1" t="n"/>
      <c r="G956" s="1" t="n"/>
      <c r="H956" s="3" t="n"/>
      <c r="I956" s="3" t="n"/>
    </row>
    <row r="957" ht="14.25" customHeight="1" s="101">
      <c r="A957" s="1" t="n"/>
      <c r="D957" s="2" t="n"/>
      <c r="E957" s="2" t="n"/>
      <c r="F957" s="1" t="n"/>
      <c r="G957" s="1" t="n"/>
      <c r="H957" s="3" t="n"/>
      <c r="I957" s="3" t="n"/>
    </row>
    <row r="958" ht="14.25" customHeight="1" s="101">
      <c r="A958" s="1" t="n"/>
      <c r="D958" s="2" t="n"/>
      <c r="E958" s="2" t="n"/>
      <c r="F958" s="1" t="n"/>
      <c r="G958" s="1" t="n"/>
      <c r="H958" s="3" t="n"/>
      <c r="I958" s="3" t="n"/>
    </row>
    <row r="959" ht="14.25" customHeight="1" s="101">
      <c r="A959" s="1" t="n"/>
      <c r="D959" s="2" t="n"/>
      <c r="E959" s="2" t="n"/>
      <c r="F959" s="1" t="n"/>
      <c r="G959" s="1" t="n"/>
      <c r="H959" s="3" t="n"/>
      <c r="I959" s="3" t="n"/>
    </row>
    <row r="960" ht="14.25" customHeight="1" s="101">
      <c r="A960" s="1" t="n"/>
      <c r="D960" s="2" t="n"/>
      <c r="E960" s="2" t="n"/>
      <c r="F960" s="1" t="n"/>
      <c r="G960" s="1" t="n"/>
      <c r="H960" s="3" t="n"/>
      <c r="I960" s="3" t="n"/>
    </row>
    <row r="961" ht="14.25" customHeight="1" s="101">
      <c r="A961" s="1" t="n"/>
      <c r="D961" s="2" t="n"/>
      <c r="E961" s="2" t="n"/>
      <c r="F961" s="1" t="n"/>
      <c r="G961" s="1" t="n"/>
      <c r="H961" s="3" t="n"/>
      <c r="I961" s="3" t="n"/>
    </row>
    <row r="962" ht="14.25" customHeight="1" s="101">
      <c r="A962" s="1" t="n"/>
      <c r="D962" s="2" t="n"/>
      <c r="E962" s="2" t="n"/>
      <c r="F962" s="1" t="n"/>
      <c r="G962" s="1" t="n"/>
      <c r="H962" s="3" t="n"/>
      <c r="I962" s="3" t="n"/>
    </row>
    <row r="963" ht="14.25" customHeight="1" s="101">
      <c r="A963" s="1" t="n"/>
      <c r="D963" s="2" t="n"/>
      <c r="E963" s="2" t="n"/>
      <c r="F963" s="1" t="n"/>
      <c r="G963" s="1" t="n"/>
      <c r="H963" s="3" t="n"/>
      <c r="I963" s="3" t="n"/>
    </row>
    <row r="964" ht="14.25" customHeight="1" s="101">
      <c r="A964" s="1" t="n"/>
      <c r="D964" s="2" t="n"/>
      <c r="E964" s="2" t="n"/>
      <c r="F964" s="1" t="n"/>
      <c r="G964" s="1" t="n"/>
      <c r="H964" s="3" t="n"/>
      <c r="I964" s="3" t="n"/>
    </row>
    <row r="965" ht="14.25" customHeight="1" s="101">
      <c r="A965" s="1" t="n"/>
      <c r="D965" s="2" t="n"/>
      <c r="E965" s="2" t="n"/>
      <c r="F965" s="1" t="n"/>
      <c r="G965" s="1" t="n"/>
      <c r="H965" s="3" t="n"/>
      <c r="I965" s="3" t="n"/>
    </row>
    <row r="966" ht="14.25" customHeight="1" s="101">
      <c r="A966" s="1" t="n"/>
      <c r="D966" s="2" t="n"/>
      <c r="E966" s="2" t="n"/>
      <c r="F966" s="1" t="n"/>
      <c r="G966" s="1" t="n"/>
      <c r="H966" s="3" t="n"/>
      <c r="I966" s="3" t="n"/>
    </row>
    <row r="967" ht="14.25" customHeight="1" s="101">
      <c r="A967" s="1" t="n"/>
      <c r="D967" s="2" t="n"/>
      <c r="E967" s="2" t="n"/>
      <c r="F967" s="1" t="n"/>
      <c r="G967" s="1" t="n"/>
      <c r="H967" s="3" t="n"/>
      <c r="I967" s="3" t="n"/>
    </row>
    <row r="968" ht="14.25" customHeight="1" s="101">
      <c r="A968" s="1" t="n"/>
      <c r="D968" s="2" t="n"/>
      <c r="E968" s="2" t="n"/>
      <c r="F968" s="1" t="n"/>
      <c r="G968" s="1" t="n"/>
      <c r="H968" s="3" t="n"/>
      <c r="I968" s="3" t="n"/>
    </row>
    <row r="969" ht="14.25" customHeight="1" s="101">
      <c r="A969" s="1" t="n"/>
      <c r="D969" s="2" t="n"/>
      <c r="E969" s="2" t="n"/>
      <c r="F969" s="1" t="n"/>
      <c r="G969" s="1" t="n"/>
      <c r="H969" s="3" t="n"/>
      <c r="I969" s="3" t="n"/>
    </row>
    <row r="970" ht="14.25" customHeight="1" s="101">
      <c r="A970" s="1" t="n"/>
      <c r="D970" s="2" t="n"/>
      <c r="E970" s="2" t="n"/>
      <c r="F970" s="1" t="n"/>
      <c r="G970" s="1" t="n"/>
      <c r="H970" s="3" t="n"/>
      <c r="I970" s="3" t="n"/>
    </row>
    <row r="971" ht="14.25" customHeight="1" s="101">
      <c r="A971" s="1" t="n"/>
      <c r="D971" s="2" t="n"/>
      <c r="E971" s="2" t="n"/>
      <c r="F971" s="1" t="n"/>
      <c r="G971" s="1" t="n"/>
      <c r="H971" s="3" t="n"/>
      <c r="I971" s="3" t="n"/>
    </row>
    <row r="972" ht="14.25" customHeight="1" s="101">
      <c r="A972" s="1" t="n"/>
      <c r="D972" s="2" t="n"/>
      <c r="E972" s="2" t="n"/>
      <c r="F972" s="1" t="n"/>
      <c r="G972" s="1" t="n"/>
      <c r="H972" s="3" t="n"/>
      <c r="I972" s="3" t="n"/>
    </row>
    <row r="973" ht="14.25" customHeight="1" s="101">
      <c r="A973" s="1" t="n"/>
      <c r="D973" s="2" t="n"/>
      <c r="E973" s="2" t="n"/>
      <c r="F973" s="1" t="n"/>
      <c r="G973" s="1" t="n"/>
      <c r="H973" s="3" t="n"/>
      <c r="I973" s="3" t="n"/>
    </row>
    <row r="974" ht="14.25" customHeight="1" s="101">
      <c r="A974" s="1" t="n"/>
      <c r="D974" s="2" t="n"/>
      <c r="E974" s="2" t="n"/>
      <c r="F974" s="1" t="n"/>
      <c r="G974" s="1" t="n"/>
      <c r="H974" s="3" t="n"/>
      <c r="I974" s="3" t="n"/>
    </row>
    <row r="975" ht="14.25" customHeight="1" s="101">
      <c r="A975" s="1" t="n"/>
      <c r="D975" s="2" t="n"/>
      <c r="E975" s="2" t="n"/>
      <c r="F975" s="1" t="n"/>
      <c r="G975" s="1" t="n"/>
      <c r="H975" s="3" t="n"/>
      <c r="I975" s="3" t="n"/>
    </row>
    <row r="976" ht="14.25" customHeight="1" s="101">
      <c r="A976" s="1" t="n"/>
      <c r="D976" s="2" t="n"/>
      <c r="E976" s="2" t="n"/>
      <c r="F976" s="1" t="n"/>
      <c r="G976" s="1" t="n"/>
      <c r="H976" s="3" t="n"/>
      <c r="I976" s="3" t="n"/>
    </row>
    <row r="977" ht="14.25" customHeight="1" s="101">
      <c r="A977" s="1" t="n"/>
      <c r="D977" s="2" t="n"/>
      <c r="E977" s="2" t="n"/>
      <c r="F977" s="1" t="n"/>
      <c r="G977" s="1" t="n"/>
      <c r="H977" s="3" t="n"/>
      <c r="I977" s="3" t="n"/>
    </row>
    <row r="978" ht="14.25" customHeight="1" s="101">
      <c r="A978" s="1" t="n"/>
      <c r="D978" s="2" t="n"/>
      <c r="E978" s="2" t="n"/>
      <c r="F978" s="1" t="n"/>
      <c r="G978" s="1" t="n"/>
      <c r="H978" s="3" t="n"/>
      <c r="I978" s="3" t="n"/>
    </row>
    <row r="979" ht="14.25" customHeight="1" s="101">
      <c r="A979" s="1" t="n"/>
      <c r="D979" s="2" t="n"/>
      <c r="E979" s="2" t="n"/>
      <c r="F979" s="1" t="n"/>
      <c r="G979" s="1" t="n"/>
      <c r="H979" s="3" t="n"/>
      <c r="I979" s="3" t="n"/>
    </row>
    <row r="980" ht="14.25" customHeight="1" s="101">
      <c r="A980" s="1" t="n"/>
      <c r="D980" s="2" t="n"/>
      <c r="E980" s="2" t="n"/>
      <c r="F980" s="1" t="n"/>
      <c r="G980" s="1" t="n"/>
      <c r="H980" s="3" t="n"/>
      <c r="I980" s="3" t="n"/>
    </row>
    <row r="981" ht="14.25" customHeight="1" s="101">
      <c r="A981" s="1" t="n"/>
      <c r="D981" s="2" t="n"/>
      <c r="E981" s="2" t="n"/>
      <c r="F981" s="1" t="n"/>
      <c r="G981" s="1" t="n"/>
      <c r="H981" s="3" t="n"/>
      <c r="I981" s="3" t="n"/>
    </row>
    <row r="982" ht="14.25" customHeight="1" s="101">
      <c r="A982" s="1" t="n"/>
      <c r="D982" s="2" t="n"/>
      <c r="E982" s="2" t="n"/>
      <c r="F982" s="1" t="n"/>
      <c r="G982" s="1" t="n"/>
      <c r="H982" s="3" t="n"/>
      <c r="I982" s="3" t="n"/>
    </row>
    <row r="983" ht="14.25" customHeight="1" s="101">
      <c r="A983" s="1" t="n"/>
      <c r="D983" s="2" t="n"/>
      <c r="E983" s="2" t="n"/>
      <c r="F983" s="1" t="n"/>
      <c r="G983" s="1" t="n"/>
      <c r="H983" s="3" t="n"/>
      <c r="I983" s="3" t="n"/>
    </row>
    <row r="984" ht="14.25" customHeight="1" s="101">
      <c r="A984" s="1" t="n"/>
      <c r="D984" s="2" t="n"/>
      <c r="E984" s="2" t="n"/>
      <c r="F984" s="1" t="n"/>
      <c r="G984" s="1" t="n"/>
      <c r="H984" s="3" t="n"/>
      <c r="I984" s="3" t="n"/>
    </row>
    <row r="985" ht="14.25" customHeight="1" s="101">
      <c r="A985" s="1" t="n"/>
      <c r="D985" s="2" t="n"/>
      <c r="E985" s="2" t="n"/>
      <c r="F985" s="1" t="n"/>
      <c r="G985" s="1" t="n"/>
      <c r="H985" s="3" t="n"/>
      <c r="I985" s="3" t="n"/>
    </row>
    <row r="986" ht="14.25" customHeight="1" s="101">
      <c r="A986" s="1" t="n"/>
      <c r="D986" s="2" t="n"/>
      <c r="E986" s="2" t="n"/>
      <c r="F986" s="1" t="n"/>
      <c r="G986" s="1" t="n"/>
      <c r="H986" s="3" t="n"/>
      <c r="I986" s="3" t="n"/>
    </row>
    <row r="987" ht="14.25" customHeight="1" s="101">
      <c r="A987" s="1" t="n"/>
      <c r="D987" s="2" t="n"/>
      <c r="E987" s="2" t="n"/>
      <c r="F987" s="1" t="n"/>
      <c r="G987" s="1" t="n"/>
      <c r="H987" s="3" t="n"/>
      <c r="I987" s="3" t="n"/>
    </row>
    <row r="988" ht="14.25" customHeight="1" s="101">
      <c r="A988" s="1" t="n"/>
      <c r="D988" s="2" t="n"/>
      <c r="E988" s="2" t="n"/>
      <c r="F988" s="1" t="n"/>
      <c r="G988" s="1" t="n"/>
      <c r="H988" s="3" t="n"/>
      <c r="I988" s="3" t="n"/>
    </row>
    <row r="989" ht="14.25" customHeight="1" s="101">
      <c r="A989" s="1" t="n"/>
      <c r="D989" s="2" t="n"/>
      <c r="E989" s="2" t="n"/>
      <c r="F989" s="1" t="n"/>
      <c r="G989" s="1" t="n"/>
      <c r="H989" s="3" t="n"/>
      <c r="I989" s="3" t="n"/>
    </row>
    <row r="990" ht="14.25" customHeight="1" s="101">
      <c r="A990" s="1" t="n"/>
      <c r="D990" s="2" t="n"/>
      <c r="E990" s="2" t="n"/>
      <c r="F990" s="1" t="n"/>
      <c r="G990" s="1" t="n"/>
      <c r="H990" s="3" t="n"/>
      <c r="I990" s="3" t="n"/>
    </row>
    <row r="991" ht="14.25" customHeight="1" s="101">
      <c r="A991" s="1" t="n"/>
      <c r="D991" s="2" t="n"/>
      <c r="E991" s="2" t="n"/>
      <c r="F991" s="1" t="n"/>
      <c r="G991" s="1" t="n"/>
      <c r="H991" s="3" t="n"/>
      <c r="I991" s="3" t="n"/>
    </row>
    <row r="992" ht="14.25" customHeight="1" s="101">
      <c r="A992" s="1" t="n"/>
      <c r="D992" s="2" t="n"/>
      <c r="E992" s="2" t="n"/>
      <c r="F992" s="1" t="n"/>
      <c r="G992" s="1" t="n"/>
      <c r="H992" s="3" t="n"/>
      <c r="I992" s="3" t="n"/>
    </row>
    <row r="993" ht="14.25" customHeight="1" s="101">
      <c r="A993" s="1" t="n"/>
      <c r="D993" s="2" t="n"/>
      <c r="E993" s="2" t="n"/>
      <c r="F993" s="1" t="n"/>
      <c r="G993" s="1" t="n"/>
      <c r="H993" s="3" t="n"/>
      <c r="I993" s="3" t="n"/>
    </row>
    <row r="994" ht="14.25" customHeight="1" s="101">
      <c r="A994" s="1" t="n"/>
      <c r="D994" s="2" t="n"/>
      <c r="E994" s="2" t="n"/>
      <c r="F994" s="1" t="n"/>
      <c r="G994" s="1" t="n"/>
      <c r="H994" s="3" t="n"/>
      <c r="I994" s="3" t="n"/>
    </row>
    <row r="995" ht="14.25" customHeight="1" s="101">
      <c r="A995" s="1" t="n"/>
      <c r="D995" s="2" t="n"/>
      <c r="E995" s="2" t="n"/>
      <c r="F995" s="1" t="n"/>
      <c r="G995" s="1" t="n"/>
      <c r="H995" s="3" t="n"/>
      <c r="I995" s="3" t="n"/>
    </row>
    <row r="996" ht="14.25" customHeight="1" s="101">
      <c r="A996" s="1" t="n"/>
      <c r="D996" s="2" t="n"/>
      <c r="E996" s="2" t="n"/>
      <c r="F996" s="1" t="n"/>
      <c r="G996" s="1" t="n"/>
      <c r="H996" s="3" t="n"/>
      <c r="I996" s="3" t="n"/>
    </row>
    <row r="997" ht="14.25" customHeight="1" s="101">
      <c r="A997" s="1" t="n"/>
      <c r="D997" s="2" t="n"/>
      <c r="E997" s="2" t="n"/>
      <c r="F997" s="1" t="n"/>
      <c r="G997" s="1" t="n"/>
      <c r="H997" s="3" t="n"/>
      <c r="I997" s="3" t="n"/>
    </row>
    <row r="998" ht="14.25" customHeight="1" s="101">
      <c r="A998" s="1" t="n"/>
      <c r="D998" s="2" t="n"/>
      <c r="E998" s="2" t="n"/>
      <c r="F998" s="1" t="n"/>
      <c r="G998" s="1" t="n"/>
      <c r="H998" s="3" t="n"/>
      <c r="I998" s="3" t="n"/>
    </row>
    <row r="999" ht="14.25" customHeight="1" s="101">
      <c r="A999" s="1" t="n"/>
      <c r="D999" s="2" t="n"/>
      <c r="E999" s="2" t="n"/>
      <c r="F999" s="1" t="n"/>
      <c r="G999" s="1" t="n"/>
      <c r="H999" s="3" t="n"/>
      <c r="I999" s="3" t="n"/>
    </row>
    <row r="1000" ht="14.25" customHeight="1" s="101">
      <c r="A1000" s="1" t="n"/>
      <c r="D1000" s="2" t="n"/>
      <c r="E1000" s="2" t="n"/>
      <c r="F1000" s="1" t="n"/>
      <c r="G1000" s="1" t="n"/>
      <c r="H1000" s="3" t="n"/>
      <c r="I1000" s="3" t="n"/>
    </row>
  </sheetData>
  <mergeCells count="51">
    <mergeCell ref="L5:M6"/>
    <mergeCell ref="A8:A10"/>
    <mergeCell ref="D5:D7"/>
    <mergeCell ref="B34:B36"/>
    <mergeCell ref="H5:J6"/>
    <mergeCell ref="C11:C13"/>
    <mergeCell ref="B17:B18"/>
    <mergeCell ref="D17:D18"/>
    <mergeCell ref="D25:D27"/>
    <mergeCell ref="A5:A7"/>
    <mergeCell ref="G5:G7"/>
    <mergeCell ref="D8:D10"/>
    <mergeCell ref="A14:A16"/>
    <mergeCell ref="D14:D16"/>
    <mergeCell ref="B5:B7"/>
    <mergeCell ref="B23:B24"/>
    <mergeCell ref="B28:B30"/>
    <mergeCell ref="A34:A36"/>
    <mergeCell ref="C34:C36"/>
    <mergeCell ref="A28:A30"/>
    <mergeCell ref="C28:C30"/>
    <mergeCell ref="B25:B27"/>
    <mergeCell ref="A31:A33"/>
    <mergeCell ref="B19:B22"/>
    <mergeCell ref="B31:B33"/>
    <mergeCell ref="C23:C24"/>
    <mergeCell ref="D31:D33"/>
    <mergeCell ref="A17:A18"/>
    <mergeCell ref="D34:D36"/>
    <mergeCell ref="C17:C18"/>
    <mergeCell ref="C14:C16"/>
    <mergeCell ref="A11:A13"/>
    <mergeCell ref="A23:A24"/>
    <mergeCell ref="C5:C7"/>
    <mergeCell ref="B11:B13"/>
    <mergeCell ref="B8:B10"/>
    <mergeCell ref="E5:E7"/>
    <mergeCell ref="K5:K7"/>
    <mergeCell ref="F5:F7"/>
    <mergeCell ref="A19:A22"/>
    <mergeCell ref="C19:C22"/>
    <mergeCell ref="C31:C33"/>
    <mergeCell ref="C25:C27"/>
    <mergeCell ref="A25:A27"/>
    <mergeCell ref="D11:D13"/>
    <mergeCell ref="D23:D24"/>
    <mergeCell ref="B14:B16"/>
    <mergeCell ref="C8:C10"/>
    <mergeCell ref="D19:D22"/>
    <mergeCell ref="N5:O6"/>
    <mergeCell ref="D28:D30"/>
  </mergeCells>
  <pageMargins left="0.25" right="0.25" top="0.75" bottom="0.75"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Siti Khairunnisa Binti Omar Aziz</dc:creator>
  <dcterms:created xmlns:dcterms="http://purl.org/dc/terms/" xmlns:xsi="http://www.w3.org/2001/XMLSchema-instance" xsi:type="dcterms:W3CDTF">2012-05-29T03:52:00Z</dcterms:created>
  <dcterms:modified xmlns:dcterms="http://purl.org/dc/terms/" xmlns:xsi="http://www.w3.org/2001/XMLSchema-instance" xsi:type="dcterms:W3CDTF">2025-11-22T10:51:38Z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5A37502CE7694EACB03EA651443AF90D_13</vt:lpwstr>
  </property>
  <property name="KSOProductBuildVer" fmtid="{D5CDD505-2E9C-101B-9397-08002B2CF9AE}" pid="3">
    <vt:lpwstr xmlns:vt="http://schemas.openxmlformats.org/officeDocument/2006/docPropsVTypes">1033-12.2.0.23155</vt:lpwstr>
  </property>
</Properties>
</file>